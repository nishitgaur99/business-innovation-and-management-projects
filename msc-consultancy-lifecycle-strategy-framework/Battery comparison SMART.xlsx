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itgaur/Desktop/Practice track/Battery/"/>
    </mc:Choice>
  </mc:AlternateContent>
  <xr:revisionPtr revIDLastSave="0" documentId="13_ncr:1_{5DDB5474-B58E-434B-9A87-EC671D619084}" xr6:coauthVersionLast="47" xr6:coauthVersionMax="47" xr10:uidLastSave="{00000000-0000-0000-0000-000000000000}"/>
  <bookViews>
    <workbookView xWindow="0" yWindow="0" windowWidth="38400" windowHeight="21600" xr2:uid="{85C83D39-A504-1E41-83D1-9544286E9C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7" i="1"/>
  <c r="C28" i="1"/>
  <c r="C29" i="1"/>
  <c r="C30" i="1"/>
  <c r="C31" i="1"/>
  <c r="C25" i="1"/>
  <c r="B32" i="1"/>
  <c r="C32" i="1" s="1"/>
  <c r="C52" i="2"/>
  <c r="C53" i="2"/>
  <c r="C54" i="2"/>
  <c r="C51" i="2"/>
  <c r="M35" i="2"/>
  <c r="M36" i="2"/>
  <c r="M37" i="2"/>
  <c r="M34" i="2"/>
  <c r="C35" i="2"/>
  <c r="C36" i="2"/>
  <c r="C37" i="2"/>
  <c r="M18" i="2"/>
  <c r="M19" i="2"/>
  <c r="M20" i="2"/>
  <c r="M17" i="2"/>
  <c r="C18" i="2"/>
  <c r="C19" i="2"/>
  <c r="C20" i="2"/>
  <c r="C17" i="2"/>
  <c r="J20" i="1" l="1"/>
  <c r="M9" i="1" s="1"/>
  <c r="J15" i="1"/>
  <c r="M4" i="1" s="1"/>
  <c r="J16" i="1"/>
  <c r="M5" i="1" s="1"/>
  <c r="J17" i="1"/>
  <c r="M6" i="1" s="1"/>
  <c r="J18" i="1"/>
  <c r="M7" i="1" s="1"/>
  <c r="J19" i="1"/>
  <c r="M8" i="1" s="1"/>
</calcChain>
</file>

<file path=xl/sharedStrings.xml><?xml version="1.0" encoding="utf-8"?>
<sst xmlns="http://schemas.openxmlformats.org/spreadsheetml/2006/main" count="110" uniqueCount="67">
  <si>
    <t>Battery Type</t>
  </si>
  <si>
    <t>Energy Density</t>
  </si>
  <si>
    <t>Range</t>
  </si>
  <si>
    <t>Lifetime and Degradation</t>
  </si>
  <si>
    <t>Weight</t>
  </si>
  <si>
    <t>Li-NMC</t>
  </si>
  <si>
    <t>Li-S</t>
  </si>
  <si>
    <t>Solid State Battery</t>
  </si>
  <si>
    <t>500-1500 Cycles</t>
  </si>
  <si>
    <t>NiMH</t>
  </si>
  <si>
    <t>500-1000 Cycles</t>
  </si>
  <si>
    <t>Battery Comparison</t>
  </si>
  <si>
    <t>Li-LFP</t>
  </si>
  <si>
    <t>Li-NCA</t>
  </si>
  <si>
    <t>Weight (Kg)</t>
  </si>
  <si>
    <t>200-300</t>
  </si>
  <si>
    <t>300-400</t>
  </si>
  <si>
    <t>250-350</t>
  </si>
  <si>
    <t>250-400</t>
  </si>
  <si>
    <t>150-250</t>
  </si>
  <si>
    <t>Carbon Emission LCA (kg CO2eq)</t>
  </si>
  <si>
    <t>150-200</t>
  </si>
  <si>
    <t xml:space="preserve"> Cost ($)</t>
  </si>
  <si>
    <t>170-220</t>
  </si>
  <si>
    <t>200-250</t>
  </si>
  <si>
    <t>400-800</t>
  </si>
  <si>
    <t>140-150</t>
  </si>
  <si>
    <t>160-200</t>
  </si>
  <si>
    <t>90-120</t>
  </si>
  <si>
    <t>200-240</t>
  </si>
  <si>
    <t>Energy Density (Wh/kg)</t>
  </si>
  <si>
    <t>300-500</t>
  </si>
  <si>
    <t>400-500</t>
  </si>
  <si>
    <t>60-120</t>
  </si>
  <si>
    <t>150-300</t>
  </si>
  <si>
    <t>100-250</t>
  </si>
  <si>
    <t>200-350</t>
  </si>
  <si>
    <t>80-150</t>
  </si>
  <si>
    <t xml:space="preserve">250-300 </t>
  </si>
  <si>
    <t xml:space="preserve">300-400 </t>
  </si>
  <si>
    <t>2000-5000 Cycles</t>
  </si>
  <si>
    <t>2000-7000 Cycles</t>
  </si>
  <si>
    <t>Relative safety rating</t>
  </si>
  <si>
    <t>Relative Availability and Production Scalability</t>
  </si>
  <si>
    <t>High (95)</t>
  </si>
  <si>
    <t>Good (85)</t>
  </si>
  <si>
    <t>Moderate (75)</t>
  </si>
  <si>
    <t>Limited (65)</t>
  </si>
  <si>
    <t>Low (55)</t>
  </si>
  <si>
    <t>Moderate (65)</t>
  </si>
  <si>
    <t>Range (miles)</t>
  </si>
  <si>
    <t>Rating</t>
  </si>
  <si>
    <t>Lifetime</t>
  </si>
  <si>
    <t>CO2</t>
  </si>
  <si>
    <t xml:space="preserve"> Cost ($/kWh)</t>
  </si>
  <si>
    <t xml:space="preserve">Energy Density </t>
  </si>
  <si>
    <t xml:space="preserve">Carbon Emission LCA </t>
  </si>
  <si>
    <t xml:space="preserve"> Cost</t>
  </si>
  <si>
    <t>Criteria</t>
  </si>
  <si>
    <t>Swing weights</t>
  </si>
  <si>
    <t>Normalised weight</t>
  </si>
  <si>
    <t>Energy density</t>
  </si>
  <si>
    <t>Lifetime and degradation</t>
  </si>
  <si>
    <t>Carbon emission LCA</t>
  </si>
  <si>
    <t>Relative availability</t>
  </si>
  <si>
    <t>Total Weight: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</si>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</sst>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3" borderId="0" xfId="0" applyFill="1"/>
    <xf numFmtId="164" fontId="0" fillId="0" borderId="1" xfId="0" applyNumberFormat="1" applyBorder="1"/>
    <xf numFmtId="165" fontId="0" fillId="3" borderId="1" xfId="0" applyNumberFormat="1" applyFill="1" applyBorder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 Value vs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Sheet1!$J$14</c:f>
              <c:strCache>
                <c:ptCount val="1"/>
                <c:pt idx="0">
                  <c:v>Total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Li-NMC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83C-0748-96E5-179300B680C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Li-LFP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83C-0748-96E5-179300B680C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Li-NCA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83C-0748-96E5-179300B680C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Li-S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83C-0748-96E5-179300B68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Solid State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83C-0748-96E5-179300B68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NiMH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83C-0748-96E5-179300B68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Sheet1!$I$15:$I$20</c:f>
              <c:numCache>
                <c:formatCode>General</c:formatCode>
                <c:ptCount val="6"/>
                <c:pt idx="0">
                  <c:v>175</c:v>
                </c:pt>
                <c:pt idx="1">
                  <c:v>195</c:v>
                </c:pt>
                <c:pt idx="2">
                  <c:v>225</c:v>
                </c:pt>
                <c:pt idx="3">
                  <c:v>350</c:v>
                </c:pt>
                <c:pt idx="4">
                  <c:v>600</c:v>
                </c:pt>
                <c:pt idx="5">
                  <c:v>145</c:v>
                </c:pt>
              </c:numCache>
            </c:numRef>
          </c:xVal>
          <c:yVal>
            <c:numRef>
              <c:f>Sheet1!$J$15:$J$20</c:f>
              <c:numCache>
                <c:formatCode>0.0</c:formatCode>
                <c:ptCount val="6"/>
                <c:pt idx="0">
                  <c:v>45.383043478260873</c:v>
                </c:pt>
                <c:pt idx="1">
                  <c:v>54.173217391304348</c:v>
                </c:pt>
                <c:pt idx="2">
                  <c:v>51.431130434782602</c:v>
                </c:pt>
                <c:pt idx="3">
                  <c:v>60.740108695652175</c:v>
                </c:pt>
                <c:pt idx="4">
                  <c:v>89.728260869565204</c:v>
                </c:pt>
                <c:pt idx="5">
                  <c:v>19.184782608695652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C-0748-96E5-179300B680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74741152"/>
        <c:axId val="289190720"/>
      </c:scatterChart>
      <c:valAx>
        <c:axId val="57474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190720"/>
        <c:crosses val="autoZero"/>
        <c:crossBetween val="midCat"/>
      </c:valAx>
      <c:valAx>
        <c:axId val="2891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Total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4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Sensitivity Analysis for Lifetime &amp; Degradation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40622737466577E-2"/>
          <c:y val="0.16506237382514438"/>
          <c:w val="0.88923210070567327"/>
          <c:h val="0.61967184182422952"/>
        </c:manualLayout>
      </c:layout>
      <c:lineChart>
        <c:grouping val="standar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Li-NMC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Sheet1!$N$3:$X$3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Sheet1!$N$4:$X$4</c:f>
              <c:numCache>
                <c:formatCode>General</c:formatCode>
                <c:ptCount val="11"/>
                <c:pt idx="0">
                  <c:v>44.436304347826088</c:v>
                </c:pt>
                <c:pt idx="1">
                  <c:v>44.58195652173913</c:v>
                </c:pt>
                <c:pt idx="2">
                  <c:v>44.727608695652172</c:v>
                </c:pt>
                <c:pt idx="3">
                  <c:v>44.873260869565222</c:v>
                </c:pt>
                <c:pt idx="4">
                  <c:v>45.018913043478264</c:v>
                </c:pt>
                <c:pt idx="5">
                  <c:v>45.164565217391306</c:v>
                </c:pt>
                <c:pt idx="6">
                  <c:v>45.310217391304349</c:v>
                </c:pt>
                <c:pt idx="7">
                  <c:v>45.455869565217391</c:v>
                </c:pt>
                <c:pt idx="8">
                  <c:v>45.601521739130433</c:v>
                </c:pt>
                <c:pt idx="9">
                  <c:v>45.747173913043483</c:v>
                </c:pt>
                <c:pt idx="10">
                  <c:v>45.892826086956525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F-F243-A9E6-3963BC2A4E46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Li-LFP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Sheet1!$N$3:$X$3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Sheet1!$N$5:$X$5</c:f>
              <c:numCache>
                <c:formatCode>General</c:formatCode>
                <c:ptCount val="11"/>
                <c:pt idx="0">
                  <c:v>43.794413043478258</c:v>
                </c:pt>
                <c:pt idx="1">
                  <c:v>45.391152173913042</c:v>
                </c:pt>
                <c:pt idx="2">
                  <c:v>46.987891304347826</c:v>
                </c:pt>
                <c:pt idx="3">
                  <c:v>48.584630434782603</c:v>
                </c:pt>
                <c:pt idx="4">
                  <c:v>50.181369565217388</c:v>
                </c:pt>
                <c:pt idx="5">
                  <c:v>51.778108695652165</c:v>
                </c:pt>
                <c:pt idx="6">
                  <c:v>53.374847826086949</c:v>
                </c:pt>
                <c:pt idx="7">
                  <c:v>54.971586956521733</c:v>
                </c:pt>
                <c:pt idx="8">
                  <c:v>56.568326086956517</c:v>
                </c:pt>
                <c:pt idx="9">
                  <c:v>58.165065217391302</c:v>
                </c:pt>
                <c:pt idx="10">
                  <c:v>59.761804347826086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F-F243-A9E6-3963BC2A4E46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Li-NCA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Sheet1!$N$3:$X$3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Sheet1!$N$6:$X$6</c:f>
              <c:numCache>
                <c:formatCode>General</c:formatCode>
                <c:ptCount val="11"/>
                <c:pt idx="0">
                  <c:v>50.484391304347824</c:v>
                </c:pt>
                <c:pt idx="1">
                  <c:v>50.630043478260873</c:v>
                </c:pt>
                <c:pt idx="2">
                  <c:v>50.775695652173908</c:v>
                </c:pt>
                <c:pt idx="3">
                  <c:v>50.921347826086958</c:v>
                </c:pt>
                <c:pt idx="4">
                  <c:v>51.066999999999993</c:v>
                </c:pt>
                <c:pt idx="5">
                  <c:v>51.212652173913042</c:v>
                </c:pt>
                <c:pt idx="6">
                  <c:v>51.358304347826092</c:v>
                </c:pt>
                <c:pt idx="7">
                  <c:v>51.503956521739127</c:v>
                </c:pt>
                <c:pt idx="8">
                  <c:v>51.649608695652176</c:v>
                </c:pt>
                <c:pt idx="9">
                  <c:v>51.795260869565212</c:v>
                </c:pt>
                <c:pt idx="10">
                  <c:v>51.940913043478261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F-F243-A9E6-3963BC2A4E46}"/>
            </c:ext>
          </c:extLst>
        </c:ser>
        <c:ser>
          <c:idx val="3"/>
          <c:order val="3"/>
          <c:tx>
            <c:strRef>
              <c:f>Sheet1!$A$8</c:f>
              <c:strCache>
                <c:ptCount val="1"/>
                <c:pt idx="0">
                  <c:v>Li-S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Sheet1!$N$3:$X$3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Sheet1!$N$7:$X$7</c:f>
              <c:numCache>
                <c:formatCode>General</c:formatCode>
                <c:ptCount val="11"/>
                <c:pt idx="0">
                  <c:v>60.740108695652175</c:v>
                </c:pt>
                <c:pt idx="1">
                  <c:v>60.740108695652175</c:v>
                </c:pt>
                <c:pt idx="2">
                  <c:v>60.740108695652175</c:v>
                </c:pt>
                <c:pt idx="3">
                  <c:v>60.740108695652175</c:v>
                </c:pt>
                <c:pt idx="4">
                  <c:v>60.740108695652175</c:v>
                </c:pt>
                <c:pt idx="5">
                  <c:v>60.740108695652175</c:v>
                </c:pt>
                <c:pt idx="6">
                  <c:v>60.740108695652175</c:v>
                </c:pt>
                <c:pt idx="7">
                  <c:v>60.740108695652175</c:v>
                </c:pt>
                <c:pt idx="8">
                  <c:v>60.740108695652175</c:v>
                </c:pt>
                <c:pt idx="9">
                  <c:v>60.740108695652175</c:v>
                </c:pt>
                <c:pt idx="10">
                  <c:v>60.740108695652175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9F-F243-A9E6-3963BC2A4E46}"/>
            </c:ext>
          </c:extLst>
        </c:ser>
        <c:ser>
          <c:idx val="4"/>
          <c:order val="4"/>
          <c:tx>
            <c:strRef>
              <c:f>Sheet1!$A$9</c:f>
              <c:strCache>
                <c:ptCount val="1"/>
                <c:pt idx="0">
                  <c:v>Solid State Battery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Sheet1!$N$3:$X$3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Sheet1!$N$8:$X$8</c:f>
              <c:numCache>
                <c:formatCode>General</c:formatCode>
                <c:ptCount val="11"/>
                <c:pt idx="0">
                  <c:v>75.597826086956516</c:v>
                </c:pt>
                <c:pt idx="1">
                  <c:v>77.771739130434781</c:v>
                </c:pt>
                <c:pt idx="2">
                  <c:v>79.945652173913047</c:v>
                </c:pt>
                <c:pt idx="3">
                  <c:v>82.119565217391298</c:v>
                </c:pt>
                <c:pt idx="4">
                  <c:v>84.293478260869563</c:v>
                </c:pt>
                <c:pt idx="5">
                  <c:v>86.467391304347828</c:v>
                </c:pt>
                <c:pt idx="6">
                  <c:v>88.641304347826079</c:v>
                </c:pt>
                <c:pt idx="7">
                  <c:v>90.815217391304344</c:v>
                </c:pt>
                <c:pt idx="8">
                  <c:v>92.989130434782609</c:v>
                </c:pt>
                <c:pt idx="9">
                  <c:v>95.16304347826086</c:v>
                </c:pt>
                <c:pt idx="10">
                  <c:v>97.336956521739125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9F-F243-A9E6-3963BC2A4E46}"/>
            </c:ext>
          </c:extLst>
        </c:ser>
        <c:ser>
          <c:idx val="5"/>
          <c:order val="5"/>
          <c:tx>
            <c:strRef>
              <c:f>Sheet1!$A$10</c:f>
              <c:strCache>
                <c:ptCount val="1"/>
                <c:pt idx="0">
                  <c:v>NiMH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Sheet1!$N$3:$X$3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Sheet1!$N$9:$X$9</c:f>
              <c:numCache>
                <c:formatCode>General</c:formatCode>
                <c:ptCount val="11"/>
                <c:pt idx="0">
                  <c:v>19.184782608695652</c:v>
                </c:pt>
                <c:pt idx="1">
                  <c:v>19.184782608695652</c:v>
                </c:pt>
                <c:pt idx="2">
                  <c:v>19.184782608695652</c:v>
                </c:pt>
                <c:pt idx="3">
                  <c:v>19.184782608695652</c:v>
                </c:pt>
                <c:pt idx="4">
                  <c:v>19.184782608695652</c:v>
                </c:pt>
                <c:pt idx="5">
                  <c:v>19.184782608695652</c:v>
                </c:pt>
                <c:pt idx="6">
                  <c:v>19.184782608695652</c:v>
                </c:pt>
                <c:pt idx="7">
                  <c:v>19.184782608695652</c:v>
                </c:pt>
                <c:pt idx="8">
                  <c:v>19.184782608695652</c:v>
                </c:pt>
                <c:pt idx="9">
                  <c:v>19.184782608695652</c:v>
                </c:pt>
                <c:pt idx="10">
                  <c:v>19.184782608695652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9F-F243-A9E6-3963BC2A4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949024"/>
        <c:axId val="1021949840"/>
      </c:lineChart>
      <c:catAx>
        <c:axId val="10219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949840"/>
        <c:crosses val="autoZero"/>
        <c:auto val="1"/>
        <c:lblAlgn val="ctr"/>
        <c:lblOffset val="100"/>
        <c:noMultiLvlLbl val="0"/>
      </c:catAx>
      <c:valAx>
        <c:axId val="10219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9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Sheet2!$C$15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Sheet2!$B$16:$B$21</c:f>
              <c:numCache>
                <c:formatCode>General</c:formatCode>
                <c:ptCount val="6"/>
                <c:pt idx="0">
                  <c:v>90</c:v>
                </c:pt>
                <c:pt idx="1">
                  <c:v>105</c:v>
                </c:pt>
                <c:pt idx="2">
                  <c:v>180</c:v>
                </c:pt>
                <c:pt idx="3">
                  <c:v>220</c:v>
                </c:pt>
                <c:pt idx="4">
                  <c:v>400</c:v>
                </c:pt>
                <c:pt idx="5">
                  <c:v>450</c:v>
                </c:pt>
              </c:numCache>
            </c:numRef>
          </c:xVal>
          <c:yVal>
            <c:numRef>
              <c:f>Sheet2!$C$16:$C$21</c:f>
              <c:numCache>
                <c:formatCode>General</c:formatCode>
                <c:ptCount val="6"/>
                <c:pt idx="0">
                  <c:v>0</c:v>
                </c:pt>
                <c:pt idx="1">
                  <c:v>4.1690000000000005</c:v>
                </c:pt>
                <c:pt idx="2">
                  <c:v>25.003999999999998</c:v>
                </c:pt>
                <c:pt idx="3">
                  <c:v>36.116</c:v>
                </c:pt>
                <c:pt idx="4">
                  <c:v>86.11999999999999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E-EC49-9743-FDFCEF998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0096"/>
        <c:axId val="204858464"/>
      </c:scatterChart>
      <c:valAx>
        <c:axId val="20528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58464"/>
        <c:crosses val="autoZero"/>
        <c:crossBetween val="midCat"/>
      </c:valAx>
      <c:valAx>
        <c:axId val="2048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Sheet2!$M$15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Sheet2!$L$16:$L$21</c:f>
              <c:numCache>
                <c:formatCode>General</c:formatCode>
                <c:ptCount val="6"/>
                <c:pt idx="0">
                  <c:v>115</c:v>
                </c:pt>
                <c:pt idx="1">
                  <c:v>175</c:v>
                </c:pt>
                <c:pt idx="2">
                  <c:v>225</c:v>
                </c:pt>
                <c:pt idx="3">
                  <c:v>275</c:v>
                </c:pt>
                <c:pt idx="4">
                  <c:v>275</c:v>
                </c:pt>
                <c:pt idx="5">
                  <c:v>350</c:v>
                </c:pt>
              </c:numCache>
            </c:numRef>
          </c:xVal>
          <c:yVal>
            <c:numRef>
              <c:f>Sheet2!$M$16:$M$21</c:f>
              <c:numCache>
                <c:formatCode>General</c:formatCode>
                <c:ptCount val="6"/>
                <c:pt idx="0">
                  <c:v>0</c:v>
                </c:pt>
                <c:pt idx="1">
                  <c:v>25.526499999999992</c:v>
                </c:pt>
                <c:pt idx="2">
                  <c:v>46.801499999999997</c:v>
                </c:pt>
                <c:pt idx="3">
                  <c:v>68.07650000000001</c:v>
                </c:pt>
                <c:pt idx="4">
                  <c:v>68.07650000000001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B-7140-8416-1DF9C9831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15792"/>
        <c:axId val="303961904"/>
      </c:scatterChart>
      <c:valAx>
        <c:axId val="27051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961904"/>
        <c:crosses val="autoZero"/>
        <c:crossBetween val="midCat"/>
      </c:valAx>
      <c:valAx>
        <c:axId val="3039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51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Lifetime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Sheet2!$C$32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Sheet2!$B$33:$B$38</c:f>
              <c:numCache>
                <c:formatCode>General</c:formatCode>
                <c:ptCount val="6"/>
                <c:pt idx="0">
                  <c:v>750</c:v>
                </c:pt>
                <c:pt idx="1">
                  <c:v>750</c:v>
                </c:pt>
                <c:pt idx="2">
                  <c:v>1000</c:v>
                </c:pt>
                <c:pt idx="3">
                  <c:v>1000</c:v>
                </c:pt>
                <c:pt idx="4">
                  <c:v>3500</c:v>
                </c:pt>
                <c:pt idx="5">
                  <c:v>4500</c:v>
                </c:pt>
              </c:numCache>
            </c:numRef>
          </c:xVal>
          <c:yVal>
            <c:numRef>
              <c:f>Sheet2!$C$33:$C$38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6.7000000000000028</c:v>
                </c:pt>
                <c:pt idx="3">
                  <c:v>6.7000000000000028</c:v>
                </c:pt>
                <c:pt idx="4">
                  <c:v>73.45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1-BF4E-AF0B-83A93484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87008"/>
        <c:axId val="309781936"/>
      </c:scatterChart>
      <c:valAx>
        <c:axId val="3098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81936"/>
        <c:crosses val="autoZero"/>
        <c:crossBetween val="midCat"/>
      </c:valAx>
      <c:valAx>
        <c:axId val="3097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88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Sheet2!$M$32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7084426946631672E-3"/>
                  <c:y val="-0.361213546223388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Sheet2!$L$33:$L$38</c:f>
              <c:numCache>
                <c:formatCode>General</c:formatCode>
                <c:ptCount val="6"/>
                <c:pt idx="0">
                  <c:v>122</c:v>
                </c:pt>
                <c:pt idx="1">
                  <c:v>146</c:v>
                </c:pt>
                <c:pt idx="2">
                  <c:v>166</c:v>
                </c:pt>
                <c:pt idx="3">
                  <c:v>230</c:v>
                </c:pt>
                <c:pt idx="4">
                  <c:v>240</c:v>
                </c:pt>
                <c:pt idx="5">
                  <c:v>300</c:v>
                </c:pt>
              </c:numCache>
            </c:numRef>
          </c:xVal>
          <c:yVal>
            <c:numRef>
              <c:f>Sheet2!$M$33:$M$38</c:f>
              <c:numCache>
                <c:formatCode>General</c:formatCode>
                <c:ptCount val="6"/>
                <c:pt idx="0">
                  <c:v>100</c:v>
                </c:pt>
                <c:pt idx="1">
                  <c:v>86.517200000000003</c:v>
                </c:pt>
                <c:pt idx="2">
                  <c:v>75.281199999999998</c:v>
                </c:pt>
                <c:pt idx="3">
                  <c:v>39.325999999999993</c:v>
                </c:pt>
                <c:pt idx="4">
                  <c:v>33.707999999999998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6-3D45-B756-7D24E3AE4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045712"/>
        <c:axId val="289774896"/>
      </c:scatterChart>
      <c:valAx>
        <c:axId val="29004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74896"/>
        <c:crosses val="autoZero"/>
        <c:crossBetween val="midCat"/>
      </c:valAx>
      <c:valAx>
        <c:axId val="28977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04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Sheet2!$C$49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9484470691163605E-2"/>
                  <c:y val="-0.35106481481481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Sheet2!$B$50:$B$55</c:f>
              <c:numCache>
                <c:formatCode>General</c:formatCode>
                <c:ptCount val="6"/>
                <c:pt idx="0">
                  <c:v>200</c:v>
                </c:pt>
                <c:pt idx="1">
                  <c:v>250</c:v>
                </c:pt>
                <c:pt idx="2">
                  <c:v>250</c:v>
                </c:pt>
                <c:pt idx="3">
                  <c:v>300</c:v>
                </c:pt>
                <c:pt idx="4">
                  <c:v>325</c:v>
                </c:pt>
                <c:pt idx="5">
                  <c:v>350</c:v>
                </c:pt>
              </c:numCache>
            </c:numRef>
          </c:xVal>
          <c:yVal>
            <c:numRef>
              <c:f>Sheet2!$C$50:$C$55</c:f>
              <c:numCache>
                <c:formatCode>General</c:formatCode>
                <c:ptCount val="6"/>
                <c:pt idx="0">
                  <c:v>100</c:v>
                </c:pt>
                <c:pt idx="1">
                  <c:v>66.65500000000003</c:v>
                </c:pt>
                <c:pt idx="2">
                  <c:v>66.65500000000003</c:v>
                </c:pt>
                <c:pt idx="3">
                  <c:v>33.320000000000022</c:v>
                </c:pt>
                <c:pt idx="4">
                  <c:v>16.652500000000032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4-C140-8225-1F27A116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51152"/>
        <c:axId val="272690384"/>
      </c:scatterChart>
      <c:valAx>
        <c:axId val="30915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90384"/>
        <c:crosses val="autoZero"/>
        <c:crossBetween val="midCat"/>
      </c:valAx>
      <c:valAx>
        <c:axId val="27269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5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1590453</xdr:colOff>
      <xdr:row>23</xdr:row>
      <xdr:rowOff>9155</xdr:rowOff>
    </xdr:from>
    <xdr:to>
      <xdr:col>8</xdr:col>
      <xdr:colOff>1151859</xdr:colOff>
      <xdr:row>48</xdr:row>
      <xdr:rowOff>88603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85608-BC09-8C19-7B1E-D2770320A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595978</xdr:colOff>
      <xdr:row>13</xdr:row>
      <xdr:rowOff>80789</xdr:rowOff>
    </xdr:from>
    <xdr:to>
      <xdr:col>19</xdr:col>
      <xdr:colOff>358697</xdr:colOff>
      <xdr:row>29</xdr:row>
      <xdr:rowOff>106425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98BBCD-5132-2C42-E9B9-4EB39799B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</xdr:colOff>
      <xdr:row>14</xdr:row>
      <xdr:rowOff>0</xdr:rowOff>
    </xdr:from>
    <xdr:to>
      <xdr:col>9</xdr:col>
      <xdr:colOff>314960</xdr:colOff>
      <xdr:row>27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10B1-F3FE-1F6C-D0CE-A6DDCB470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14</xdr:row>
      <xdr:rowOff>17780</xdr:rowOff>
    </xdr:from>
    <xdr:to>
      <xdr:col>19</xdr:col>
      <xdr:colOff>474980</xdr:colOff>
      <xdr:row>27</xdr:row>
      <xdr:rowOff>119380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64E93-4257-CCE0-3BCF-2060D9670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6350</xdr:colOff>
      <xdr:row>31</xdr:row>
      <xdr:rowOff>12700</xdr:rowOff>
    </xdr:from>
    <xdr:to>
      <xdr:col>9</xdr:col>
      <xdr:colOff>298450</xdr:colOff>
      <xdr:row>44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CD48A5-E738-290E-FDC0-01855AC8D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</xdr:colOff>
      <xdr:row>31</xdr:row>
      <xdr:rowOff>0</xdr:rowOff>
    </xdr:from>
    <xdr:to>
      <xdr:col>19</xdr:col>
      <xdr:colOff>463550</xdr:colOff>
      <xdr:row>44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CD593-A512-32F1-1D3E-5F6FFB322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26228</xdr:colOff>
      <xdr:row>48</xdr:row>
      <xdr:rowOff>22640</xdr:rowOff>
    </xdr:from>
    <xdr:to>
      <xdr:col>9</xdr:col>
      <xdr:colOff>305076</xdr:colOff>
      <xdr:row>61</xdr:row>
      <xdr:rowOff>73992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25E908-50C0-C63A-E69E-14DEF258D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039D-D4AA-624D-8ABC-874769CA30BA}">
  <dimension ref="A1:X32"/>
  <sheetViews>
    <sheetView tabSelected="1" topLeftCell="F1" workbookViewId="0">
      <selection activeCell="K21" sqref="K21"/>
    </sheetView>
  </sheetViews>
  <sheetFormatPr baseColWidth="10" defaultRowHeight="16" x14ac:dyDescent="0.2"/>
  <cols>
    <col min="1" max="1" width="21.5" customWidth="1"/>
    <col min="2" max="2" width="20.1640625" customWidth="1"/>
    <col min="3" max="3" width="19.1640625" customWidth="1"/>
    <col min="4" max="4" width="20.83203125" customWidth="1"/>
    <col min="5" max="5" width="17.83203125" customWidth="1"/>
    <col min="6" max="6" width="25.6640625" customWidth="1"/>
    <col min="7" max="7" width="25.83203125" customWidth="1"/>
    <col min="8" max="8" width="36.6640625" customWidth="1"/>
    <col min="9" max="9" width="29.6640625" customWidth="1"/>
    <col min="10" max="10" width="16.83203125" customWidth="1"/>
  </cols>
  <sheetData>
    <row r="1" spans="1:24" ht="19" x14ac:dyDescent="0.25">
      <c r="G1" s="6" t="s">
        <v>11</v>
      </c>
    </row>
    <row r="3" spans="1:24" x14ac:dyDescent="0.2">
      <c r="N3">
        <v>0</v>
      </c>
      <c r="O3">
        <v>10</v>
      </c>
      <c r="P3">
        <v>20</v>
      </c>
      <c r="Q3">
        <v>30</v>
      </c>
      <c r="R3">
        <v>40</v>
      </c>
      <c r="S3">
        <v>50</v>
      </c>
      <c r="T3">
        <v>60</v>
      </c>
      <c r="U3">
        <v>70</v>
      </c>
      <c r="V3">
        <v>80</v>
      </c>
      <c r="W3">
        <v>90</v>
      </c>
      <c r="X3">
        <v>100</v>
      </c>
    </row>
    <row r="4" spans="1:24" s="9" customFormat="1" x14ac:dyDescent="0.2">
      <c r="A4" s="8" t="s">
        <v>0</v>
      </c>
      <c r="B4" s="8" t="s">
        <v>30</v>
      </c>
      <c r="C4" s="8" t="s">
        <v>50</v>
      </c>
      <c r="D4" s="8" t="s">
        <v>3</v>
      </c>
      <c r="E4" s="8" t="s">
        <v>42</v>
      </c>
      <c r="F4" s="8" t="s">
        <v>20</v>
      </c>
      <c r="G4" s="8" t="s">
        <v>14</v>
      </c>
      <c r="H4" s="8" t="s">
        <v>43</v>
      </c>
      <c r="I4" s="8" t="s">
        <v>54</v>
      </c>
      <c r="M4" s="16">
        <f>J15</f>
        <v>45.383043478260873</v>
      </c>
      <c r="N4" s="9">
        <f t="dataTable" ref="N4:X9" dt2D="0" dtr="1" r1="B27"/>
        <v>44.436304347826088</v>
      </c>
      <c r="O4" s="9">
        <v>44.58195652173913</v>
      </c>
      <c r="P4" s="9">
        <v>44.727608695652172</v>
      </c>
      <c r="Q4" s="9">
        <v>44.873260869565222</v>
      </c>
      <c r="R4" s="9">
        <v>45.018913043478264</v>
      </c>
      <c r="S4" s="9">
        <v>45.164565217391306</v>
      </c>
      <c r="T4" s="9">
        <v>45.310217391304349</v>
      </c>
      <c r="U4" s="9">
        <v>45.455869565217391</v>
      </c>
      <c r="V4" s="9">
        <v>45.601521739130433</v>
      </c>
      <c r="W4" s="9">
        <v>45.747173913043483</v>
      </c>
      <c r="X4" s="9">
        <v>45.892826086956525</v>
      </c>
    </row>
    <row r="5" spans="1:24" x14ac:dyDescent="0.2">
      <c r="A5" s="7" t="s">
        <v>5</v>
      </c>
      <c r="B5" s="5" t="s">
        <v>27</v>
      </c>
      <c r="C5" s="5" t="s">
        <v>34</v>
      </c>
      <c r="D5" s="5" t="s">
        <v>8</v>
      </c>
      <c r="E5" s="5">
        <v>80</v>
      </c>
      <c r="F5" s="5">
        <v>240</v>
      </c>
      <c r="G5" s="5" t="s">
        <v>17</v>
      </c>
      <c r="H5" s="5" t="s">
        <v>44</v>
      </c>
      <c r="I5" s="5" t="s">
        <v>21</v>
      </c>
      <c r="M5" s="16">
        <f>J16</f>
        <v>54.173217391304348</v>
      </c>
      <c r="N5">
        <v>43.794413043478258</v>
      </c>
      <c r="O5">
        <v>45.391152173913042</v>
      </c>
      <c r="P5">
        <v>46.987891304347826</v>
      </c>
      <c r="Q5">
        <v>48.584630434782603</v>
      </c>
      <c r="R5">
        <v>50.181369565217388</v>
      </c>
      <c r="S5">
        <v>51.778108695652165</v>
      </c>
      <c r="T5">
        <v>53.374847826086949</v>
      </c>
      <c r="U5">
        <v>54.971586956521733</v>
      </c>
      <c r="V5">
        <v>56.568326086956517</v>
      </c>
      <c r="W5">
        <v>58.165065217391302</v>
      </c>
      <c r="X5">
        <v>59.761804347826086</v>
      </c>
    </row>
    <row r="6" spans="1:24" x14ac:dyDescent="0.2">
      <c r="A6" s="7" t="s">
        <v>12</v>
      </c>
      <c r="B6" s="5" t="s">
        <v>28</v>
      </c>
      <c r="C6" s="5" t="s">
        <v>35</v>
      </c>
      <c r="D6" s="5" t="s">
        <v>40</v>
      </c>
      <c r="E6" s="5">
        <v>100</v>
      </c>
      <c r="F6" s="5">
        <v>166</v>
      </c>
      <c r="G6" s="5" t="s">
        <v>18</v>
      </c>
      <c r="H6" s="5" t="s">
        <v>45</v>
      </c>
      <c r="I6" s="5" t="s">
        <v>23</v>
      </c>
      <c r="M6" s="16">
        <f t="shared" ref="M6:M9" si="0">J17</f>
        <v>51.431130434782602</v>
      </c>
      <c r="N6">
        <v>50.484391304347824</v>
      </c>
      <c r="O6">
        <v>50.630043478260873</v>
      </c>
      <c r="P6">
        <v>50.775695652173908</v>
      </c>
      <c r="Q6">
        <v>50.921347826086958</v>
      </c>
      <c r="R6">
        <v>51.066999999999993</v>
      </c>
      <c r="S6">
        <v>51.212652173913042</v>
      </c>
      <c r="T6">
        <v>51.358304347826092</v>
      </c>
      <c r="U6">
        <v>51.503956521739127</v>
      </c>
      <c r="V6">
        <v>51.649608695652176</v>
      </c>
      <c r="W6">
        <v>51.795260869565212</v>
      </c>
      <c r="X6">
        <v>51.940913043478261</v>
      </c>
    </row>
    <row r="7" spans="1:24" x14ac:dyDescent="0.2">
      <c r="A7" s="7" t="s">
        <v>13</v>
      </c>
      <c r="B7" s="5" t="s">
        <v>29</v>
      </c>
      <c r="C7" s="5" t="s">
        <v>36</v>
      </c>
      <c r="D7" s="5" t="s">
        <v>8</v>
      </c>
      <c r="E7" s="5">
        <v>70</v>
      </c>
      <c r="F7" s="5">
        <v>230</v>
      </c>
      <c r="G7" s="5" t="s">
        <v>15</v>
      </c>
      <c r="H7" s="5" t="s">
        <v>46</v>
      </c>
      <c r="I7" s="5" t="s">
        <v>24</v>
      </c>
      <c r="M7" s="16">
        <f t="shared" si="0"/>
        <v>60.740108695652175</v>
      </c>
      <c r="N7">
        <v>60.740108695652175</v>
      </c>
      <c r="O7">
        <v>60.740108695652175</v>
      </c>
      <c r="P7">
        <v>60.740108695652175</v>
      </c>
      <c r="Q7">
        <v>60.740108695652175</v>
      </c>
      <c r="R7">
        <v>60.740108695652175</v>
      </c>
      <c r="S7">
        <v>60.740108695652175</v>
      </c>
      <c r="T7">
        <v>60.740108695652175</v>
      </c>
      <c r="U7">
        <v>60.740108695652175</v>
      </c>
      <c r="V7">
        <v>60.740108695652175</v>
      </c>
      <c r="W7">
        <v>60.740108695652175</v>
      </c>
      <c r="X7">
        <v>60.740108695652175</v>
      </c>
    </row>
    <row r="8" spans="1:24" x14ac:dyDescent="0.2">
      <c r="A8" s="7" t="s">
        <v>6</v>
      </c>
      <c r="B8" s="5" t="s">
        <v>31</v>
      </c>
      <c r="C8" s="5" t="s">
        <v>38</v>
      </c>
      <c r="D8" s="5" t="s">
        <v>10</v>
      </c>
      <c r="E8" s="5">
        <v>60</v>
      </c>
      <c r="F8" s="5">
        <v>146</v>
      </c>
      <c r="G8" s="5" t="s">
        <v>15</v>
      </c>
      <c r="H8" s="5" t="s">
        <v>48</v>
      </c>
      <c r="I8" s="5" t="s">
        <v>16</v>
      </c>
      <c r="M8" s="16">
        <f t="shared" si="0"/>
        <v>89.728260869565204</v>
      </c>
      <c r="N8">
        <v>75.597826086956516</v>
      </c>
      <c r="O8">
        <v>77.771739130434781</v>
      </c>
      <c r="P8">
        <v>79.945652173913047</v>
      </c>
      <c r="Q8">
        <v>82.119565217391298</v>
      </c>
      <c r="R8">
        <v>84.293478260869563</v>
      </c>
      <c r="S8">
        <v>86.467391304347828</v>
      </c>
      <c r="T8">
        <v>88.641304347826079</v>
      </c>
      <c r="U8">
        <v>90.815217391304344</v>
      </c>
      <c r="V8">
        <v>92.989130434782609</v>
      </c>
      <c r="W8">
        <v>95.16304347826086</v>
      </c>
      <c r="X8">
        <v>97.336956521739125</v>
      </c>
    </row>
    <row r="9" spans="1:24" x14ac:dyDescent="0.2">
      <c r="A9" s="7" t="s">
        <v>7</v>
      </c>
      <c r="B9" s="5" t="s">
        <v>32</v>
      </c>
      <c r="C9" s="5" t="s">
        <v>39</v>
      </c>
      <c r="D9" s="5" t="s">
        <v>41</v>
      </c>
      <c r="E9" s="5">
        <v>70</v>
      </c>
      <c r="F9" s="5">
        <v>122</v>
      </c>
      <c r="G9" s="5" t="s">
        <v>19</v>
      </c>
      <c r="H9" s="5" t="s">
        <v>48</v>
      </c>
      <c r="I9" s="5" t="s">
        <v>25</v>
      </c>
      <c r="M9" s="16">
        <f t="shared" si="0"/>
        <v>19.184782608695652</v>
      </c>
      <c r="N9">
        <v>19.184782608695652</v>
      </c>
      <c r="O9">
        <v>19.184782608695652</v>
      </c>
      <c r="P9">
        <v>19.184782608695652</v>
      </c>
      <c r="Q9">
        <v>19.184782608695652</v>
      </c>
      <c r="R9">
        <v>19.184782608695652</v>
      </c>
      <c r="S9">
        <v>19.184782608695652</v>
      </c>
      <c r="T9">
        <v>19.184782608695652</v>
      </c>
      <c r="U9">
        <v>19.184782608695652</v>
      </c>
      <c r="V9">
        <v>19.184782608695652</v>
      </c>
      <c r="W9">
        <v>19.184782608695652</v>
      </c>
      <c r="X9">
        <v>19.184782608695652</v>
      </c>
    </row>
    <row r="10" spans="1:24" x14ac:dyDescent="0.2">
      <c r="A10" s="7" t="s">
        <v>9</v>
      </c>
      <c r="B10" s="5" t="s">
        <v>33</v>
      </c>
      <c r="C10" s="5" t="s">
        <v>37</v>
      </c>
      <c r="D10" s="5" t="s">
        <v>10</v>
      </c>
      <c r="E10" s="5">
        <v>70</v>
      </c>
      <c r="F10" s="5">
        <v>300</v>
      </c>
      <c r="G10" s="5" t="s">
        <v>16</v>
      </c>
      <c r="H10" s="5" t="s">
        <v>49</v>
      </c>
      <c r="I10" s="5" t="s">
        <v>26</v>
      </c>
      <c r="M10" s="16"/>
    </row>
    <row r="14" spans="1:24" s="9" customFormat="1" x14ac:dyDescent="0.2">
      <c r="A14" s="8" t="s">
        <v>0</v>
      </c>
      <c r="B14" s="8" t="s">
        <v>55</v>
      </c>
      <c r="C14" s="8" t="s">
        <v>2</v>
      </c>
      <c r="D14" s="8" t="s">
        <v>3</v>
      </c>
      <c r="E14" s="8" t="s">
        <v>42</v>
      </c>
      <c r="F14" s="8" t="s">
        <v>56</v>
      </c>
      <c r="G14" s="8" t="s">
        <v>4</v>
      </c>
      <c r="H14" s="8" t="s">
        <v>43</v>
      </c>
      <c r="I14" s="8" t="s">
        <v>57</v>
      </c>
      <c r="J14" s="12" t="s">
        <v>66</v>
      </c>
    </row>
    <row r="15" spans="1:24" x14ac:dyDescent="0.2">
      <c r="A15" s="7" t="s">
        <v>5</v>
      </c>
      <c r="B15" s="5">
        <v>25</v>
      </c>
      <c r="C15" s="5">
        <v>46.8</v>
      </c>
      <c r="D15" s="5">
        <v>6.7</v>
      </c>
      <c r="E15" s="5">
        <v>80</v>
      </c>
      <c r="F15" s="5">
        <v>33.700000000000003</v>
      </c>
      <c r="G15" s="5">
        <v>33.32</v>
      </c>
      <c r="H15" s="5">
        <v>95</v>
      </c>
      <c r="I15" s="5">
        <v>175</v>
      </c>
      <c r="J15" s="15">
        <f>B15*C25+C15*C26+D15*C27+E15*C28+F15*C29+G15*C30+H15*C31</f>
        <v>45.383043478260873</v>
      </c>
    </row>
    <row r="16" spans="1:24" x14ac:dyDescent="0.2">
      <c r="A16" s="7" t="s">
        <v>12</v>
      </c>
      <c r="B16" s="5">
        <v>4.1689999999999996</v>
      </c>
      <c r="C16" s="5">
        <v>25.52</v>
      </c>
      <c r="D16" s="5">
        <v>73.45</v>
      </c>
      <c r="E16" s="5">
        <v>100</v>
      </c>
      <c r="F16" s="5">
        <v>75.28</v>
      </c>
      <c r="G16" s="5">
        <v>16.649999999999999</v>
      </c>
      <c r="H16" s="5">
        <v>85</v>
      </c>
      <c r="I16" s="5">
        <v>195</v>
      </c>
      <c r="J16" s="15">
        <f>B16*C25+C16*C26+D16*C27+E16*C28+F16*C29+G16*C30+H16*C31</f>
        <v>54.173217391304348</v>
      </c>
    </row>
    <row r="17" spans="1:10" x14ac:dyDescent="0.2">
      <c r="A17" s="7" t="s">
        <v>13</v>
      </c>
      <c r="B17" s="5">
        <v>36.116</v>
      </c>
      <c r="C17" s="5">
        <v>68.069999999999993</v>
      </c>
      <c r="D17" s="5">
        <v>6.7</v>
      </c>
      <c r="E17" s="5">
        <v>70</v>
      </c>
      <c r="F17" s="5">
        <v>39.32</v>
      </c>
      <c r="G17" s="5">
        <v>66.650000000000006</v>
      </c>
      <c r="H17" s="5">
        <v>75</v>
      </c>
      <c r="I17" s="5">
        <v>225</v>
      </c>
      <c r="J17" s="15">
        <f>B17*C25+C17*C26+D17*C27+E17*C28+F17*C29+G17*C30+H17*C31</f>
        <v>51.431130434782602</v>
      </c>
    </row>
    <row r="18" spans="1:10" x14ac:dyDescent="0.2">
      <c r="A18" s="7" t="s">
        <v>6</v>
      </c>
      <c r="B18" s="5">
        <v>86.12</v>
      </c>
      <c r="C18" s="5">
        <v>68.069999999999993</v>
      </c>
      <c r="D18" s="5">
        <v>0</v>
      </c>
      <c r="E18" s="5">
        <v>60</v>
      </c>
      <c r="F18" s="5">
        <v>86.51</v>
      </c>
      <c r="G18" s="5">
        <v>66.650000000000006</v>
      </c>
      <c r="H18" s="5">
        <v>55</v>
      </c>
      <c r="I18" s="5">
        <v>350</v>
      </c>
      <c r="J18" s="15">
        <f>B18*C25+C18*C26+D18*C27+E18*C28+F18*C29+G18*C30+H18*C31</f>
        <v>60.740108695652175</v>
      </c>
    </row>
    <row r="19" spans="1:10" x14ac:dyDescent="0.2">
      <c r="A19" s="7" t="s">
        <v>7</v>
      </c>
      <c r="B19" s="5">
        <v>100</v>
      </c>
      <c r="C19" s="5">
        <v>100</v>
      </c>
      <c r="D19" s="5">
        <v>100</v>
      </c>
      <c r="E19" s="5">
        <v>70</v>
      </c>
      <c r="F19" s="5">
        <v>100</v>
      </c>
      <c r="G19" s="5">
        <v>100</v>
      </c>
      <c r="H19" s="5">
        <v>55</v>
      </c>
      <c r="I19" s="5">
        <v>600</v>
      </c>
      <c r="J19" s="15">
        <f>B19*C25+C19*C26+D19*C27+E19*C28+F19*C29+G19*C30+H19*C31</f>
        <v>89.728260869565204</v>
      </c>
    </row>
    <row r="20" spans="1:10" x14ac:dyDescent="0.2">
      <c r="A20" s="7" t="s">
        <v>9</v>
      </c>
      <c r="B20" s="5">
        <v>0</v>
      </c>
      <c r="C20" s="5">
        <v>0</v>
      </c>
      <c r="D20" s="5">
        <v>0</v>
      </c>
      <c r="E20" s="5">
        <v>70</v>
      </c>
      <c r="F20" s="5">
        <v>0</v>
      </c>
      <c r="G20" s="5">
        <v>0</v>
      </c>
      <c r="H20" s="5">
        <v>65</v>
      </c>
      <c r="I20" s="5">
        <v>145</v>
      </c>
      <c r="J20" s="15">
        <f>B20*C25+C20*C26+D20*C27+E20*C28+F20*C29+G20*C30+H20*C31</f>
        <v>19.184782608695652</v>
      </c>
    </row>
    <row r="24" spans="1:10" x14ac:dyDescent="0.2">
      <c r="A24" s="10" t="s">
        <v>58</v>
      </c>
      <c r="B24" s="10" t="s">
        <v>59</v>
      </c>
      <c r="C24" s="10" t="s">
        <v>60</v>
      </c>
    </row>
    <row r="25" spans="1:10" x14ac:dyDescent="0.2">
      <c r="A25" s="11" t="s">
        <v>61</v>
      </c>
      <c r="B25" s="1">
        <v>70</v>
      </c>
      <c r="C25" s="14">
        <f>B25/460</f>
        <v>0.15217391304347827</v>
      </c>
    </row>
    <row r="26" spans="1:10" x14ac:dyDescent="0.2">
      <c r="A26" s="11" t="s">
        <v>2</v>
      </c>
      <c r="B26" s="1">
        <v>70</v>
      </c>
      <c r="C26" s="14">
        <f t="shared" ref="C26:C32" si="1">B26/460</f>
        <v>0.15217391304347827</v>
      </c>
    </row>
    <row r="27" spans="1:10" x14ac:dyDescent="0.2">
      <c r="A27" s="11" t="s">
        <v>62</v>
      </c>
      <c r="B27" s="1">
        <v>65</v>
      </c>
      <c r="C27" s="14">
        <f t="shared" si="1"/>
        <v>0.14130434782608695</v>
      </c>
    </row>
    <row r="28" spans="1:10" x14ac:dyDescent="0.2">
      <c r="A28" s="11" t="s">
        <v>42</v>
      </c>
      <c r="B28" s="1">
        <v>75</v>
      </c>
      <c r="C28" s="14">
        <f t="shared" si="1"/>
        <v>0.16304347826086957</v>
      </c>
    </row>
    <row r="29" spans="1:10" x14ac:dyDescent="0.2">
      <c r="A29" s="11" t="s">
        <v>63</v>
      </c>
      <c r="B29" s="1">
        <v>65</v>
      </c>
      <c r="C29" s="14">
        <f t="shared" si="1"/>
        <v>0.14130434782608695</v>
      </c>
    </row>
    <row r="30" spans="1:10" x14ac:dyDescent="0.2">
      <c r="A30" s="11" t="s">
        <v>4</v>
      </c>
      <c r="B30" s="1">
        <v>60</v>
      </c>
      <c r="C30" s="14">
        <f t="shared" si="1"/>
        <v>0.13043478260869565</v>
      </c>
    </row>
    <row r="31" spans="1:10" x14ac:dyDescent="0.2">
      <c r="A31" s="11" t="s">
        <v>64</v>
      </c>
      <c r="B31" s="1">
        <v>55</v>
      </c>
      <c r="C31" s="14">
        <f t="shared" si="1"/>
        <v>0.11956521739130435</v>
      </c>
    </row>
    <row r="32" spans="1:10" x14ac:dyDescent="0.2">
      <c r="A32" s="10" t="s">
        <v>65</v>
      </c>
      <c r="B32" s="10">
        <f>SUM(B25:B31)</f>
        <v>460</v>
      </c>
      <c r="C32" s="14">
        <f t="shared" si="1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FD11-E43E-5D4E-A727-907C5F9F4BE7}">
  <dimension ref="A3:M55"/>
  <sheetViews>
    <sheetView workbookViewId="0">
      <selection activeCell="Z56" sqref="Z56"/>
    </sheetView>
  </sheetViews>
  <sheetFormatPr baseColWidth="10" defaultRowHeight="16" x14ac:dyDescent="0.2"/>
  <cols>
    <col min="2" max="2" width="15.83203125" customWidth="1"/>
    <col min="3" max="3" width="15.6640625" customWidth="1"/>
    <col min="4" max="4" width="15.83203125" customWidth="1"/>
    <col min="8" max="8" width="12.83203125" customWidth="1"/>
  </cols>
  <sheetData>
    <row r="3" spans="1:13" x14ac:dyDescent="0.2">
      <c r="A3" s="2" t="s">
        <v>0</v>
      </c>
      <c r="B3" s="2" t="s">
        <v>30</v>
      </c>
      <c r="C3" s="2" t="s">
        <v>50</v>
      </c>
      <c r="D3" s="2" t="s">
        <v>3</v>
      </c>
      <c r="E3" s="2" t="s">
        <v>42</v>
      </c>
      <c r="F3" s="2" t="s">
        <v>20</v>
      </c>
      <c r="G3" s="2" t="s">
        <v>14</v>
      </c>
      <c r="H3" s="2" t="s">
        <v>43</v>
      </c>
      <c r="I3" s="2" t="s">
        <v>22</v>
      </c>
    </row>
    <row r="4" spans="1:13" x14ac:dyDescent="0.2">
      <c r="A4" s="3" t="s">
        <v>5</v>
      </c>
      <c r="B4" s="4">
        <v>180</v>
      </c>
      <c r="C4" s="4">
        <v>225</v>
      </c>
      <c r="D4" s="4">
        <v>1000</v>
      </c>
      <c r="E4" s="5">
        <v>80</v>
      </c>
      <c r="F4" s="5">
        <v>240</v>
      </c>
      <c r="G4" s="4">
        <v>300</v>
      </c>
      <c r="H4" s="4" t="s">
        <v>44</v>
      </c>
      <c r="I4" s="4">
        <v>175</v>
      </c>
    </row>
    <row r="5" spans="1:13" x14ac:dyDescent="0.2">
      <c r="A5" s="3" t="s">
        <v>12</v>
      </c>
      <c r="B5" s="4">
        <v>105</v>
      </c>
      <c r="C5" s="4">
        <v>175</v>
      </c>
      <c r="D5" s="4">
        <v>3500</v>
      </c>
      <c r="E5" s="5">
        <v>100</v>
      </c>
      <c r="F5" s="5">
        <v>166</v>
      </c>
      <c r="G5" s="4">
        <v>325</v>
      </c>
      <c r="H5" s="4" t="s">
        <v>45</v>
      </c>
      <c r="I5" s="4">
        <v>195</v>
      </c>
    </row>
    <row r="6" spans="1:13" x14ac:dyDescent="0.2">
      <c r="A6" s="3" t="s">
        <v>13</v>
      </c>
      <c r="B6" s="4">
        <v>220</v>
      </c>
      <c r="C6" s="4">
        <v>275</v>
      </c>
      <c r="D6" s="4">
        <v>1000</v>
      </c>
      <c r="E6" s="5">
        <v>70</v>
      </c>
      <c r="F6" s="5">
        <v>230</v>
      </c>
      <c r="G6" s="4">
        <v>250</v>
      </c>
      <c r="H6" s="4" t="s">
        <v>46</v>
      </c>
      <c r="I6" s="4">
        <v>225</v>
      </c>
    </row>
    <row r="7" spans="1:13" x14ac:dyDescent="0.2">
      <c r="A7" s="3" t="s">
        <v>6</v>
      </c>
      <c r="B7" s="4">
        <v>400</v>
      </c>
      <c r="C7" s="4">
        <v>275</v>
      </c>
      <c r="D7" s="4">
        <v>750</v>
      </c>
      <c r="E7" s="5">
        <v>60</v>
      </c>
      <c r="F7" s="5">
        <v>146</v>
      </c>
      <c r="G7" s="4">
        <v>250</v>
      </c>
      <c r="H7" s="4" t="s">
        <v>47</v>
      </c>
      <c r="I7" s="4">
        <v>125</v>
      </c>
    </row>
    <row r="8" spans="1:13" x14ac:dyDescent="0.2">
      <c r="A8" s="3" t="s">
        <v>7</v>
      </c>
      <c r="B8" s="4">
        <v>450</v>
      </c>
      <c r="C8" s="4">
        <v>350</v>
      </c>
      <c r="D8" s="4">
        <v>4500</v>
      </c>
      <c r="E8" s="5">
        <v>70</v>
      </c>
      <c r="F8" s="5">
        <v>122</v>
      </c>
      <c r="G8" s="4">
        <v>200</v>
      </c>
      <c r="H8" s="4" t="s">
        <v>48</v>
      </c>
      <c r="I8" s="4">
        <v>600</v>
      </c>
    </row>
    <row r="9" spans="1:13" x14ac:dyDescent="0.2">
      <c r="A9" s="3" t="s">
        <v>9</v>
      </c>
      <c r="B9" s="4">
        <v>90</v>
      </c>
      <c r="C9" s="4">
        <v>115</v>
      </c>
      <c r="D9" s="4">
        <v>750</v>
      </c>
      <c r="E9" s="5">
        <v>70</v>
      </c>
      <c r="F9" s="5">
        <v>300</v>
      </c>
      <c r="G9" s="4">
        <v>350</v>
      </c>
      <c r="H9" s="4" t="s">
        <v>49</v>
      </c>
      <c r="I9" s="4">
        <v>145</v>
      </c>
    </row>
    <row r="15" spans="1:13" x14ac:dyDescent="0.2">
      <c r="B15" s="13" t="s">
        <v>1</v>
      </c>
      <c r="C15" s="13" t="s">
        <v>51</v>
      </c>
      <c r="L15" s="13" t="s">
        <v>2</v>
      </c>
      <c r="M15" s="13" t="s">
        <v>51</v>
      </c>
    </row>
    <row r="16" spans="1:13" x14ac:dyDescent="0.2">
      <c r="B16" s="13">
        <v>90</v>
      </c>
      <c r="C16" s="13">
        <v>0</v>
      </c>
      <c r="L16" s="13">
        <v>115</v>
      </c>
      <c r="M16" s="13">
        <v>0</v>
      </c>
    </row>
    <row r="17" spans="2:13" x14ac:dyDescent="0.2">
      <c r="B17" s="13">
        <v>105</v>
      </c>
      <c r="C17" s="13">
        <f>0.2778*B17-25</f>
        <v>4.1690000000000005</v>
      </c>
      <c r="L17" s="13">
        <v>175</v>
      </c>
      <c r="M17" s="13">
        <f>0.4255*L17-48.936</f>
        <v>25.526499999999992</v>
      </c>
    </row>
    <row r="18" spans="2:13" x14ac:dyDescent="0.2">
      <c r="B18" s="13">
        <v>180</v>
      </c>
      <c r="C18" s="13">
        <f t="shared" ref="C18:C20" si="0">0.2778*B18-25</f>
        <v>25.003999999999998</v>
      </c>
      <c r="L18" s="13">
        <v>225</v>
      </c>
      <c r="M18" s="13">
        <f t="shared" ref="M18:M20" si="1">0.4255*L18-48.936</f>
        <v>46.801499999999997</v>
      </c>
    </row>
    <row r="19" spans="2:13" x14ac:dyDescent="0.2">
      <c r="B19" s="13">
        <v>220</v>
      </c>
      <c r="C19" s="13">
        <f t="shared" si="0"/>
        <v>36.116</v>
      </c>
      <c r="L19" s="13">
        <v>275</v>
      </c>
      <c r="M19" s="13">
        <f t="shared" si="1"/>
        <v>68.07650000000001</v>
      </c>
    </row>
    <row r="20" spans="2:13" x14ac:dyDescent="0.2">
      <c r="B20" s="13">
        <v>400</v>
      </c>
      <c r="C20" s="13">
        <f t="shared" si="0"/>
        <v>86.11999999999999</v>
      </c>
      <c r="L20" s="13">
        <v>275</v>
      </c>
      <c r="M20" s="13">
        <f t="shared" si="1"/>
        <v>68.07650000000001</v>
      </c>
    </row>
    <row r="21" spans="2:13" x14ac:dyDescent="0.2">
      <c r="B21" s="13">
        <v>450</v>
      </c>
      <c r="C21" s="13">
        <v>100</v>
      </c>
      <c r="L21" s="13">
        <v>350</v>
      </c>
      <c r="M21" s="13">
        <v>100</v>
      </c>
    </row>
    <row r="32" spans="2:13" x14ac:dyDescent="0.2">
      <c r="B32" s="13" t="s">
        <v>52</v>
      </c>
      <c r="C32" s="13" t="s">
        <v>51</v>
      </c>
      <c r="L32" s="13" t="s">
        <v>53</v>
      </c>
      <c r="M32" s="13" t="s">
        <v>51</v>
      </c>
    </row>
    <row r="33" spans="2:13" x14ac:dyDescent="0.2">
      <c r="B33" s="13">
        <v>750</v>
      </c>
      <c r="C33" s="13">
        <v>0</v>
      </c>
      <c r="L33" s="13">
        <v>122</v>
      </c>
      <c r="M33" s="13">
        <v>100</v>
      </c>
    </row>
    <row r="34" spans="2:13" x14ac:dyDescent="0.2">
      <c r="B34" s="13">
        <v>750</v>
      </c>
      <c r="C34" s="13">
        <v>0</v>
      </c>
      <c r="L34" s="13">
        <v>146</v>
      </c>
      <c r="M34" s="13">
        <f>-0.5618*L34+168.54</f>
        <v>86.517200000000003</v>
      </c>
    </row>
    <row r="35" spans="2:13" x14ac:dyDescent="0.2">
      <c r="B35" s="13">
        <v>1000</v>
      </c>
      <c r="C35" s="13">
        <f t="shared" ref="C35:C37" si="2">0.0267*B35-20</f>
        <v>6.7000000000000028</v>
      </c>
      <c r="L35" s="13">
        <v>166</v>
      </c>
      <c r="M35" s="13">
        <f t="shared" ref="M35:M37" si="3">-0.5618*L35+168.54</f>
        <v>75.281199999999998</v>
      </c>
    </row>
    <row r="36" spans="2:13" x14ac:dyDescent="0.2">
      <c r="B36" s="13">
        <v>1000</v>
      </c>
      <c r="C36" s="13">
        <f t="shared" si="2"/>
        <v>6.7000000000000028</v>
      </c>
      <c r="L36" s="13">
        <v>230</v>
      </c>
      <c r="M36" s="13">
        <f t="shared" si="3"/>
        <v>39.325999999999993</v>
      </c>
    </row>
    <row r="37" spans="2:13" x14ac:dyDescent="0.2">
      <c r="B37" s="13">
        <v>3500</v>
      </c>
      <c r="C37" s="13">
        <f t="shared" si="2"/>
        <v>73.45</v>
      </c>
      <c r="L37" s="13">
        <v>240</v>
      </c>
      <c r="M37" s="13">
        <f t="shared" si="3"/>
        <v>33.707999999999998</v>
      </c>
    </row>
    <row r="38" spans="2:13" x14ac:dyDescent="0.2">
      <c r="B38" s="13">
        <v>4500</v>
      </c>
      <c r="C38" s="13">
        <v>100</v>
      </c>
      <c r="L38" s="13">
        <v>300</v>
      </c>
      <c r="M38" s="13">
        <v>0</v>
      </c>
    </row>
    <row r="49" spans="2:3" x14ac:dyDescent="0.2">
      <c r="B49" s="13" t="s">
        <v>4</v>
      </c>
      <c r="C49" s="13" t="s">
        <v>51</v>
      </c>
    </row>
    <row r="50" spans="2:3" x14ac:dyDescent="0.2">
      <c r="B50" s="13">
        <v>200</v>
      </c>
      <c r="C50" s="13">
        <v>100</v>
      </c>
    </row>
    <row r="51" spans="2:3" x14ac:dyDescent="0.2">
      <c r="B51" s="13">
        <v>250</v>
      </c>
      <c r="C51" s="13">
        <f>-0.6667*B51+233.33</f>
        <v>66.65500000000003</v>
      </c>
    </row>
    <row r="52" spans="2:3" x14ac:dyDescent="0.2">
      <c r="B52" s="13">
        <v>250</v>
      </c>
      <c r="C52" s="13">
        <f t="shared" ref="C52:C54" si="4">-0.6667*B52+233.33</f>
        <v>66.65500000000003</v>
      </c>
    </row>
    <row r="53" spans="2:3" x14ac:dyDescent="0.2">
      <c r="B53" s="13">
        <v>300</v>
      </c>
      <c r="C53" s="13">
        <f t="shared" si="4"/>
        <v>33.320000000000022</v>
      </c>
    </row>
    <row r="54" spans="2:3" x14ac:dyDescent="0.2">
      <c r="B54" s="13">
        <v>325</v>
      </c>
      <c r="C54" s="13">
        <f t="shared" si="4"/>
        <v>16.652500000000032</v>
      </c>
    </row>
    <row r="55" spans="2:3" x14ac:dyDescent="0.2">
      <c r="B55" s="13">
        <v>350</v>
      </c>
      <c r="C55" s="1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2023-07-27T21:45:37Z</dcterms:created>
  <dcterms:modified xsi:type="dcterms:W3CDTF">2023-08-17T17:24:09Z</dcterms:modified>
</cp:coreProperties>
</file>