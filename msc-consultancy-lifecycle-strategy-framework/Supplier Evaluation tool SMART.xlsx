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itgaur/Desktop/Practice track/"/>
    </mc:Choice>
  </mc:AlternateContent>
  <xr:revisionPtr revIDLastSave="0" documentId="13_ncr:1_{77D63B02-059A-DB45-8FE4-5C139E5D3236}" xr6:coauthVersionLast="47" xr6:coauthVersionMax="47" xr10:uidLastSave="{00000000-0000-0000-0000-000000000000}"/>
  <bookViews>
    <workbookView xWindow="0" yWindow="500" windowWidth="35840" windowHeight="20580" xr2:uid="{C3B392D9-B615-4F4F-B4D9-40E9BF466A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27" i="1" s="1"/>
  <c r="A33" i="1"/>
  <c r="A32" i="1"/>
  <c r="A31" i="1"/>
  <c r="A30" i="1"/>
  <c r="A29" i="1"/>
  <c r="A28" i="1"/>
  <c r="A27" i="1"/>
  <c r="N26" i="2"/>
  <c r="N27" i="2"/>
  <c r="N28" i="2"/>
  <c r="N29" i="2"/>
  <c r="N25" i="2"/>
  <c r="N7" i="2"/>
  <c r="N8" i="2"/>
  <c r="N9" i="2"/>
  <c r="N10" i="2"/>
  <c r="N6" i="2"/>
  <c r="C42" i="2"/>
  <c r="C43" i="2"/>
  <c r="C44" i="2"/>
  <c r="C45" i="2"/>
  <c r="C41" i="2"/>
  <c r="C24" i="2"/>
  <c r="C25" i="2"/>
  <c r="C26" i="2"/>
  <c r="C27" i="2"/>
  <c r="C23" i="2"/>
  <c r="C8" i="2"/>
  <c r="C9" i="2"/>
  <c r="C10" i="2"/>
  <c r="C7" i="2"/>
  <c r="C6" i="2"/>
  <c r="C30" i="1" l="1"/>
  <c r="C28" i="1"/>
  <c r="C29" i="1"/>
  <c r="C31" i="1"/>
  <c r="C32" i="1"/>
  <c r="C33" i="1"/>
  <c r="C34" i="1"/>
  <c r="J21" i="1" l="1"/>
  <c r="K12" i="1" s="1"/>
  <c r="J19" i="1"/>
  <c r="K10" i="1" s="1"/>
  <c r="J17" i="1"/>
  <c r="K8" i="1" s="1"/>
  <c r="J20" i="1"/>
  <c r="K11" i="1" s="1"/>
  <c r="J18" i="1"/>
  <c r="K9" i="1" s="1"/>
  <c r="J16" i="1"/>
  <c r="K7" i="1" s="1"/>
  <c r="J15" i="1"/>
  <c r="K6" i="1" s="1"/>
</calcChain>
</file>

<file path=xl/sharedStrings.xml><?xml version="1.0" encoding="utf-8"?>
<sst xmlns="http://schemas.openxmlformats.org/spreadsheetml/2006/main" count="63" uniqueCount="34">
  <si>
    <t>Suppliers</t>
  </si>
  <si>
    <t>Location</t>
  </si>
  <si>
    <t>Waste generation</t>
  </si>
  <si>
    <t>Water Usage</t>
  </si>
  <si>
    <t>Carbon footprint</t>
  </si>
  <si>
    <t>Certifications (ISO 9001, ISO 14001, etc.)</t>
  </si>
  <si>
    <t>Sustainability reporting</t>
  </si>
  <si>
    <t>Transparency</t>
  </si>
  <si>
    <t>Total value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</si>
  <si>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</si>
  <si>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</si>
  <si>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</si>
  <si>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</si>
  <si>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</si>
  <si>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</si>
  <si>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</si>
  <si>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Location (miles)</t>
  </si>
  <si>
    <t>Waste generation (metric tonnes)</t>
  </si>
  <si>
    <t>Water Usage (gallons)</t>
  </si>
  <si>
    <t>Carbon footprint (tCO2e)</t>
  </si>
  <si>
    <t>Yes</t>
  </si>
  <si>
    <t>No</t>
  </si>
  <si>
    <t>Transparency (%)</t>
  </si>
  <si>
    <t>Cost ($)</t>
  </si>
  <si>
    <t>Supplier Evaluation Tool</t>
  </si>
  <si>
    <t>Rating</t>
  </si>
  <si>
    <t>Waste</t>
  </si>
  <si>
    <t>Water usage</t>
  </si>
  <si>
    <t>CO2</t>
  </si>
  <si>
    <t>Criteria</t>
  </si>
  <si>
    <t>Swing weights</t>
  </si>
  <si>
    <t>Normalised weights</t>
  </si>
  <si>
    <t>Total weight:</t>
  </si>
  <si>
    <t>Sensitivity Analysis for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</si>
</sst>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justify" vertical="center"/>
    </xf>
    <xf numFmtId="0" fontId="4" fillId="3" borderId="0" xfId="0" applyFont="1" applyFill="1" applyAlignment="1">
      <alignment horizontal="right" vertical="center"/>
    </xf>
    <xf numFmtId="164" fontId="0" fillId="4" borderId="0" xfId="0" applyNumberFormat="1" applyFill="1"/>
    <xf numFmtId="3" fontId="4" fillId="3" borderId="0" xfId="0" applyNumberFormat="1" applyFont="1" applyFill="1" applyAlignment="1">
      <alignment horizontal="right" vertical="center"/>
    </xf>
    <xf numFmtId="0" fontId="5" fillId="2" borderId="0" xfId="0" applyFont="1" applyFill="1"/>
    <xf numFmtId="0" fontId="0" fillId="5" borderId="0" xfId="0" applyFill="1"/>
    <xf numFmtId="0" fontId="4" fillId="5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2" fillId="0" borderId="0" xfId="0" applyFont="1" applyAlignment="1">
      <alignment horizontal="right" vertical="center"/>
    </xf>
    <xf numFmtId="0" fontId="0" fillId="2" borderId="0" xfId="0" applyFill="1" applyAlignment="1">
      <alignment horizontal="left"/>
    </xf>
    <xf numFmtId="2" fontId="4" fillId="3" borderId="0" xfId="0" applyNumberFormat="1" applyFont="1" applyFill="1" applyAlignment="1">
      <alignment horizontal="right" vertical="center"/>
    </xf>
    <xf numFmtId="164" fontId="0" fillId="0" borderId="0" xfId="0" applyNumberFormat="1"/>
    <xf numFmtId="0" fontId="1" fillId="0" borderId="0" xfId="0" applyFont="1"/>
    <xf numFmtId="0" fontId="1" fillId="4" borderId="0" xfId="0" applyFont="1" applyFill="1"/>
    <xf numFmtId="2" fontId="2" fillId="4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/>
    <xf numFmtId="0" fontId="1" fillId="5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Value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Sheet1!$J$14</c:f>
              <c:strCache>
                <c:ptCount val="1"/>
                <c:pt idx="0">
                  <c:v>Total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Supplier 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08E-624E-8F9E-A53A640C11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Supplier 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08E-624E-8F9E-A53A640C116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Supplier 3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08E-624E-8F9E-A53A640C116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Supplier 4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08E-624E-8F9E-A53A640C116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Supplier 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08E-624E-8F9E-A53A640C116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Supplier 6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08E-624E-8F9E-A53A640C116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Supplier 7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08E-624E-8F9E-A53A640C11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Sheet1!$I$15:$I$21</c:f>
              <c:numCache>
                <c:formatCode>General</c:formatCode>
                <c:ptCount val="7"/>
                <c:pt idx="0">
                  <c:v>200000</c:v>
                </c:pt>
                <c:pt idx="1">
                  <c:v>320000</c:v>
                </c:pt>
                <c:pt idx="2">
                  <c:v>210000</c:v>
                </c:pt>
                <c:pt idx="3">
                  <c:v>340000</c:v>
                </c:pt>
                <c:pt idx="4">
                  <c:v>220000</c:v>
                </c:pt>
                <c:pt idx="5">
                  <c:v>230000</c:v>
                </c:pt>
                <c:pt idx="6">
                  <c:v>150000</c:v>
                </c:pt>
              </c:numCache>
            </c:numRef>
          </c:xVal>
          <c:yVal>
            <c:numRef>
              <c:f>Sheet1!$J$15:$J$21</c:f>
              <c:numCache>
                <c:formatCode>0.0</c:formatCode>
                <c:ptCount val="7"/>
                <c:pt idx="0">
                  <c:v>83.301219512195118</c:v>
                </c:pt>
                <c:pt idx="1">
                  <c:v>53.135365853658541</c:v>
                </c:pt>
                <c:pt idx="2">
                  <c:v>59.433658536585369</c:v>
                </c:pt>
                <c:pt idx="3">
                  <c:v>38.947560975609754</c:v>
                </c:pt>
                <c:pt idx="4">
                  <c:v>20.269024390243903</c:v>
                </c:pt>
                <c:pt idx="5">
                  <c:v>64.439756097560974</c:v>
                </c:pt>
                <c:pt idx="6">
                  <c:v>80.814634146341461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E-624E-8F9E-A53A640C1168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211799632"/>
        <c:axId val="221429616"/>
      </c:scatterChart>
      <c:valAx>
        <c:axId val="21179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29616"/>
        <c:crosses val="autoZero"/>
        <c:crossBetween val="midCat"/>
      </c:valAx>
      <c:valAx>
        <c:axId val="2214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9632"/>
        <c:crosses val="autoZero"/>
        <c:crossBetween val="midCat"/>
      </c:valAx>
      <c:spPr>
        <a:noFill/>
        <a:ln>
          <a:solidFill>
            <a:schemeClr val="accent1">
              <a:shade val="95000"/>
              <a:satMod val="10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Sensitivity Analysis for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Sheet1!$K$6</c:f>
              <c:strCache>
                <c:ptCount val="1"/>
                <c:pt idx="0">
                  <c:v>83.3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Sheet1!$L$6:$V$6</c:f>
              <c:numCache>
                <c:formatCode>General</c:formatCode>
                <c:ptCount val="11"/>
                <c:pt idx="0">
                  <c:v>79.253030303030314</c:v>
                </c:pt>
                <c:pt idx="1">
                  <c:v>79.863235294117644</c:v>
                </c:pt>
                <c:pt idx="2">
                  <c:v>80.438571428571422</c:v>
                </c:pt>
                <c:pt idx="3">
                  <c:v>80.981944444444437</c:v>
                </c:pt>
                <c:pt idx="4">
                  <c:v>81.495945945945948</c:v>
                </c:pt>
                <c:pt idx="5">
                  <c:v>81.982894736842098</c:v>
                </c:pt>
                <c:pt idx="6">
                  <c:v>82.444871794871787</c:v>
                </c:pt>
                <c:pt idx="7">
                  <c:v>82.883750000000006</c:v>
                </c:pt>
                <c:pt idx="8">
                  <c:v>83.301219512195118</c:v>
                </c:pt>
                <c:pt idx="9">
                  <c:v>83.698809523809516</c:v>
                </c:pt>
                <c:pt idx="10">
                  <c:v>84.077906976744188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3-A249-B2B7-3213097BAC43}"/>
            </c:ext>
          </c:extLst>
        </c:ser>
        <c:ser>
          <c:idx val="1"/>
          <c:order val="1"/>
          <c:tx>
            <c:strRef>
              <c:f>Sheet1!$K$7</c:f>
              <c:strCache>
                <c:ptCount val="1"/>
                <c:pt idx="0">
                  <c:v>53.1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Sheet1!$L$7:$V$7</c:f>
              <c:numCache>
                <c:formatCode>General</c:formatCode>
                <c:ptCount val="11"/>
                <c:pt idx="0">
                  <c:v>42.828787878787878</c:v>
                </c:pt>
                <c:pt idx="1">
                  <c:v>44.382352941176478</c:v>
                </c:pt>
                <c:pt idx="2">
                  <c:v>45.847142857142856</c:v>
                </c:pt>
                <c:pt idx="3">
                  <c:v>47.230555555555554</c:v>
                </c:pt>
                <c:pt idx="4">
                  <c:v>48.539189189189187</c:v>
                </c:pt>
                <c:pt idx="5">
                  <c:v>49.778947368421051</c:v>
                </c:pt>
                <c:pt idx="6">
                  <c:v>50.955128205128204</c:v>
                </c:pt>
                <c:pt idx="7">
                  <c:v>52.072499999999998</c:v>
                </c:pt>
                <c:pt idx="8">
                  <c:v>53.135365853658541</c:v>
                </c:pt>
                <c:pt idx="9">
                  <c:v>54.147619047619045</c:v>
                </c:pt>
                <c:pt idx="10">
                  <c:v>55.11279069767442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3-A249-B2B7-3213097BAC43}"/>
            </c:ext>
          </c:extLst>
        </c:ser>
        <c:ser>
          <c:idx val="2"/>
          <c:order val="2"/>
          <c:tx>
            <c:strRef>
              <c:f>Sheet1!$K$8</c:f>
              <c:strCache>
                <c:ptCount val="1"/>
                <c:pt idx="0">
                  <c:v>59.4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Sheet1!$L$8:$V$8</c:f>
              <c:numCache>
                <c:formatCode>General</c:formatCode>
                <c:ptCount val="11"/>
                <c:pt idx="0">
                  <c:v>58.035757575757586</c:v>
                </c:pt>
                <c:pt idx="1">
                  <c:v>58.246470588235297</c:v>
                </c:pt>
                <c:pt idx="2">
                  <c:v>58.445142857142862</c:v>
                </c:pt>
                <c:pt idx="3">
                  <c:v>58.632777777777775</c:v>
                </c:pt>
                <c:pt idx="4">
                  <c:v>58.81027027027028</c:v>
                </c:pt>
                <c:pt idx="5">
                  <c:v>58.978421052631575</c:v>
                </c:pt>
                <c:pt idx="6">
                  <c:v>59.137948717948717</c:v>
                </c:pt>
                <c:pt idx="7">
                  <c:v>59.289499999999997</c:v>
                </c:pt>
                <c:pt idx="8">
                  <c:v>59.433658536585369</c:v>
                </c:pt>
                <c:pt idx="9">
                  <c:v>59.570952380952377</c:v>
                </c:pt>
                <c:pt idx="10">
                  <c:v>59.701860465116276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3-A249-B2B7-3213097BAC43}"/>
            </c:ext>
          </c:extLst>
        </c:ser>
        <c:ser>
          <c:idx val="3"/>
          <c:order val="3"/>
          <c:tx>
            <c:strRef>
              <c:f>Sheet1!$K$9</c:f>
              <c:strCache>
                <c:ptCount val="1"/>
                <c:pt idx="0">
                  <c:v>38.9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Sheet1!$L$9:$V$9</c:f>
              <c:numCache>
                <c:formatCode>General</c:formatCode>
                <c:ptCount val="11"/>
                <c:pt idx="0">
                  <c:v>48.389393939393941</c:v>
                </c:pt>
                <c:pt idx="1">
                  <c:v>46.966176470588238</c:v>
                </c:pt>
                <c:pt idx="2">
                  <c:v>45.624285714285719</c:v>
                </c:pt>
                <c:pt idx="3">
                  <c:v>44.356944444444451</c:v>
                </c:pt>
                <c:pt idx="4">
                  <c:v>43.158108108108109</c:v>
                </c:pt>
                <c:pt idx="5">
                  <c:v>42.022368421052633</c:v>
                </c:pt>
                <c:pt idx="6">
                  <c:v>40.944871794871794</c:v>
                </c:pt>
                <c:pt idx="7">
                  <c:v>39.921250000000001</c:v>
                </c:pt>
                <c:pt idx="8">
                  <c:v>38.947560975609754</c:v>
                </c:pt>
                <c:pt idx="9">
                  <c:v>38.020238095238092</c:v>
                </c:pt>
                <c:pt idx="10">
                  <c:v>37.13604651162791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33-A249-B2B7-3213097BAC43}"/>
            </c:ext>
          </c:extLst>
        </c:ser>
        <c:ser>
          <c:idx val="4"/>
          <c:order val="4"/>
          <c:tx>
            <c:strRef>
              <c:f>Sheet1!$K$10</c:f>
              <c:strCache>
                <c:ptCount val="1"/>
                <c:pt idx="0">
                  <c:v>20.3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Sheet1!$L$10:$V$10</c:f>
              <c:numCache>
                <c:formatCode>General</c:formatCode>
                <c:ptCount val="11"/>
                <c:pt idx="0">
                  <c:v>6.2130303030303029</c:v>
                </c:pt>
                <c:pt idx="1">
                  <c:v>8.3317647058823532</c:v>
                </c:pt>
                <c:pt idx="2">
                  <c:v>10.329428571428572</c:v>
                </c:pt>
                <c:pt idx="3">
                  <c:v>12.216111111111111</c:v>
                </c:pt>
                <c:pt idx="4">
                  <c:v>14.000810810810812</c:v>
                </c:pt>
                <c:pt idx="5">
                  <c:v>15.69157894736842</c:v>
                </c:pt>
                <c:pt idx="6">
                  <c:v>17.295641025641025</c:v>
                </c:pt>
                <c:pt idx="7">
                  <c:v>18.819500000000001</c:v>
                </c:pt>
                <c:pt idx="8">
                  <c:v>20.269024390243903</c:v>
                </c:pt>
                <c:pt idx="9">
                  <c:v>21.64952380952381</c:v>
                </c:pt>
                <c:pt idx="10">
                  <c:v>22.965813953488372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33-A249-B2B7-3213097BAC43}"/>
            </c:ext>
          </c:extLst>
        </c:ser>
        <c:ser>
          <c:idx val="5"/>
          <c:order val="5"/>
          <c:tx>
            <c:strRef>
              <c:f>Sheet1!$K$11</c:f>
              <c:strCache>
                <c:ptCount val="1"/>
                <c:pt idx="0">
                  <c:v>64.4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Sheet1!$L$11:$V$11</c:f>
              <c:numCache>
                <c:formatCode>General</c:formatCode>
                <c:ptCount val="11"/>
                <c:pt idx="0">
                  <c:v>60.849393939393934</c:v>
                </c:pt>
                <c:pt idx="1">
                  <c:v>61.390588235294118</c:v>
                </c:pt>
                <c:pt idx="2">
                  <c:v>61.900857142857141</c:v>
                </c:pt>
                <c:pt idx="3">
                  <c:v>62.382777777777775</c:v>
                </c:pt>
                <c:pt idx="4">
                  <c:v>62.838648648648658</c:v>
                </c:pt>
                <c:pt idx="5">
                  <c:v>63.270526315789468</c:v>
                </c:pt>
                <c:pt idx="6">
                  <c:v>63.680256410256412</c:v>
                </c:pt>
                <c:pt idx="7">
                  <c:v>64.069500000000005</c:v>
                </c:pt>
                <c:pt idx="8">
                  <c:v>64.439756097560974</c:v>
                </c:pt>
                <c:pt idx="9">
                  <c:v>64.792380952380952</c:v>
                </c:pt>
                <c:pt idx="10">
                  <c:v>65.128604651162789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33-A249-B2B7-3213097BAC43}"/>
            </c:ext>
          </c:extLst>
        </c:ser>
        <c:ser>
          <c:idx val="6"/>
          <c:order val="6"/>
          <c:tx>
            <c:strRef>
              <c:f>Sheet1!$K$12</c:f>
              <c:strCache>
                <c:ptCount val="1"/>
                <c:pt idx="0">
                  <c:v>80.8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Sheet1!$L$5:$V$5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Sheet1!$L$12:$V$12</c:f>
              <c:numCache>
                <c:formatCode>General</c:formatCode>
                <c:ptCount val="11"/>
                <c:pt idx="0">
                  <c:v>79.327272727272728</c:v>
                </c:pt>
                <c:pt idx="1">
                  <c:v>79.551470588235304</c:v>
                </c:pt>
                <c:pt idx="2">
                  <c:v>79.762857142857143</c:v>
                </c:pt>
                <c:pt idx="3">
                  <c:v>79.962500000000006</c:v>
                </c:pt>
                <c:pt idx="4">
                  <c:v>80.151351351351366</c:v>
                </c:pt>
                <c:pt idx="5">
                  <c:v>80.33026315789472</c:v>
                </c:pt>
                <c:pt idx="6">
                  <c:v>80.5</c:v>
                </c:pt>
                <c:pt idx="7">
                  <c:v>80.661249999999995</c:v>
                </c:pt>
                <c:pt idx="8">
                  <c:v>80.814634146341461</c:v>
                </c:pt>
                <c:pt idx="9">
                  <c:v>80.960714285714289</c:v>
                </c:pt>
                <c:pt idx="10">
                  <c:v>81.099999999999994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33-A249-B2B7-3213097BA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772064"/>
        <c:axId val="187863040"/>
      </c:lineChart>
      <c:catAx>
        <c:axId val="21577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3040"/>
        <c:crosses val="autoZero"/>
        <c:auto val="1"/>
        <c:lblAlgn val="ctr"/>
        <c:lblOffset val="100"/>
        <c:noMultiLvlLbl val="0"/>
      </c:catAx>
      <c:valAx>
        <c:axId val="1878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7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13779527559061E-2"/>
          <c:y val="0.17631962671332749"/>
          <c:w val="0.86487510936132983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5069991251093607E-3"/>
                  <c:y val="-0.23532407407407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Sheet2!$B$5:$B$11</c:f>
              <c:numCache>
                <c:formatCode>General</c:formatCode>
                <c:ptCount val="7"/>
                <c:pt idx="0">
                  <c:v>200</c:v>
                </c:pt>
                <c:pt idx="1">
                  <c:v>300</c:v>
                </c:pt>
                <c:pt idx="2">
                  <c:v>500</c:v>
                </c:pt>
                <c:pt idx="3">
                  <c:v>677</c:v>
                </c:pt>
                <c:pt idx="4">
                  <c:v>700</c:v>
                </c:pt>
                <c:pt idx="5">
                  <c:v>1000</c:v>
                </c:pt>
                <c:pt idx="6">
                  <c:v>2500</c:v>
                </c:pt>
              </c:numCache>
            </c:numRef>
          </c:xVal>
          <c:yVal>
            <c:numRef>
              <c:f>Sheet2!$C$5:$C$11</c:f>
              <c:numCache>
                <c:formatCode>General</c:formatCode>
                <c:ptCount val="7"/>
                <c:pt idx="0">
                  <c:v>100</c:v>
                </c:pt>
                <c:pt idx="1">
                  <c:v>95.65</c:v>
                </c:pt>
                <c:pt idx="2">
                  <c:v>86.95</c:v>
                </c:pt>
                <c:pt idx="3">
                  <c:v>79.250500000000002</c:v>
                </c:pt>
                <c:pt idx="4">
                  <c:v>78.25</c:v>
                </c:pt>
                <c:pt idx="5">
                  <c:v>65.2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0-B340-A5E4-5B62A3A1A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761776"/>
        <c:axId val="185202528"/>
      </c:scatterChart>
      <c:valAx>
        <c:axId val="57876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2528"/>
        <c:crosses val="autoZero"/>
        <c:crossBetween val="midCat"/>
      </c:valAx>
      <c:valAx>
        <c:axId val="18520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6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Waste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3932633420822398E-3"/>
                  <c:y val="-0.323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Sheet2!$B$22:$B$28</c:f>
              <c:numCache>
                <c:formatCode>General</c:formatCode>
                <c:ptCount val="7"/>
                <c:pt idx="0">
                  <c:v>12000</c:v>
                </c:pt>
                <c:pt idx="1">
                  <c:v>12998</c:v>
                </c:pt>
                <c:pt idx="2">
                  <c:v>21000</c:v>
                </c:pt>
                <c:pt idx="3">
                  <c:v>22000</c:v>
                </c:pt>
                <c:pt idx="4">
                  <c:v>23809</c:v>
                </c:pt>
                <c:pt idx="5">
                  <c:v>24000</c:v>
                </c:pt>
                <c:pt idx="6">
                  <c:v>31783</c:v>
                </c:pt>
              </c:numCache>
            </c:numRef>
          </c:xVal>
          <c:yVal>
            <c:numRef>
              <c:f>Sheet2!$C$22:$C$28</c:f>
              <c:numCache>
                <c:formatCode>General</c:formatCode>
                <c:ptCount val="7"/>
                <c:pt idx="0">
                  <c:v>100</c:v>
                </c:pt>
                <c:pt idx="1">
                  <c:v>94.370199999999997</c:v>
                </c:pt>
                <c:pt idx="2">
                  <c:v>53.559999999999988</c:v>
                </c:pt>
                <c:pt idx="3">
                  <c:v>48.459999999999994</c:v>
                </c:pt>
                <c:pt idx="4">
                  <c:v>39.234099999999984</c:v>
                </c:pt>
                <c:pt idx="5">
                  <c:v>38.259999999999991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9-6B4A-8721-7739C6CD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57344"/>
        <c:axId val="192664592"/>
      </c:scatterChart>
      <c:valAx>
        <c:axId val="1925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4592"/>
        <c:crosses val="autoZero"/>
        <c:crossBetween val="midCat"/>
      </c:valAx>
      <c:valAx>
        <c:axId val="1926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Water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3009623797025379E-3"/>
                  <c:y val="-0.332546296296296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Sheet2!$B$40:$B$46</c:f>
              <c:numCache>
                <c:formatCode>General</c:formatCode>
                <c:ptCount val="7"/>
                <c:pt idx="0">
                  <c:v>200000</c:v>
                </c:pt>
                <c:pt idx="1">
                  <c:v>210000</c:v>
                </c:pt>
                <c:pt idx="2">
                  <c:v>220000</c:v>
                </c:pt>
                <c:pt idx="3">
                  <c:v>250000</c:v>
                </c:pt>
                <c:pt idx="4">
                  <c:v>300000</c:v>
                </c:pt>
                <c:pt idx="5">
                  <c:v>350000</c:v>
                </c:pt>
                <c:pt idx="6">
                  <c:v>400000</c:v>
                </c:pt>
              </c:numCache>
            </c:numRef>
          </c:xVal>
          <c:yVal>
            <c:numRef>
              <c:f>Sheet2!$C$40:$C$46</c:f>
              <c:numCache>
                <c:formatCode>General</c:formatCode>
                <c:ptCount val="7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75</c:v>
                </c:pt>
                <c:pt idx="4">
                  <c:v>50</c:v>
                </c:pt>
                <c:pt idx="5">
                  <c:v>25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8-6845-9630-B278E261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88224"/>
        <c:axId val="146271472"/>
      </c:scatterChart>
      <c:valAx>
        <c:axId val="14628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1472"/>
        <c:crosses val="autoZero"/>
        <c:crossBetween val="midCat"/>
      </c:valAx>
      <c:valAx>
        <c:axId val="1462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Carbon emmisions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185258092738409E-2"/>
                  <c:y val="-0.41587962962962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Sheet2!$M$5:$M$11</c:f>
              <c:numCache>
                <c:formatCode>General</c:formatCode>
                <c:ptCount val="7"/>
                <c:pt idx="0">
                  <c:v>190000</c:v>
                </c:pt>
                <c:pt idx="1">
                  <c:v>200000</c:v>
                </c:pt>
                <c:pt idx="2">
                  <c:v>210000</c:v>
                </c:pt>
                <c:pt idx="3">
                  <c:v>215000</c:v>
                </c:pt>
                <c:pt idx="4">
                  <c:v>280000</c:v>
                </c:pt>
                <c:pt idx="5">
                  <c:v>300000</c:v>
                </c:pt>
                <c:pt idx="6">
                  <c:v>320000</c:v>
                </c:pt>
              </c:numCache>
            </c:numRef>
          </c:xVal>
          <c:yVal>
            <c:numRef>
              <c:f>Sheet2!$N$5:$N$11</c:f>
              <c:numCache>
                <c:formatCode>General</c:formatCode>
                <c:ptCount val="7"/>
                <c:pt idx="0">
                  <c:v>100</c:v>
                </c:pt>
                <c:pt idx="1">
                  <c:v>86.15</c:v>
                </c:pt>
                <c:pt idx="2">
                  <c:v>78.150000000000006</c:v>
                </c:pt>
                <c:pt idx="3">
                  <c:v>74.150000000000006</c:v>
                </c:pt>
                <c:pt idx="4">
                  <c:v>22.150000000000006</c:v>
                </c:pt>
                <c:pt idx="5">
                  <c:v>6.1500000000000057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D-6B46-97F0-5AEA0E8CD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47312"/>
        <c:axId val="202832784"/>
      </c:scatterChart>
      <c:valAx>
        <c:axId val="14584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2784"/>
        <c:crosses val="autoZero"/>
        <c:crossBetween val="midCat"/>
      </c:valAx>
      <c:valAx>
        <c:axId val="2028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Transparency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Sheet2!$M$24:$M$30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57</c:v>
                </c:pt>
                <c:pt idx="3">
                  <c:v>60</c:v>
                </c:pt>
                <c:pt idx="4">
                  <c:v>65</c:v>
                </c:pt>
                <c:pt idx="5">
                  <c:v>89</c:v>
                </c:pt>
                <c:pt idx="6">
                  <c:v>90</c:v>
                </c:pt>
              </c:numCache>
            </c:numRef>
          </c:xVal>
          <c:yVal>
            <c:numRef>
              <c:f>Sheet2!$N$24:$N$30</c:f>
              <c:numCache>
                <c:formatCode>General</c:formatCode>
                <c:ptCount val="7"/>
                <c:pt idx="0">
                  <c:v>0</c:v>
                </c:pt>
                <c:pt idx="1">
                  <c:v>8.3345000000000056</c:v>
                </c:pt>
                <c:pt idx="2">
                  <c:v>45.001900000000006</c:v>
                </c:pt>
                <c:pt idx="3">
                  <c:v>50.00200000000001</c:v>
                </c:pt>
                <c:pt idx="4">
                  <c:v>58.33550000000001</c:v>
                </c:pt>
                <c:pt idx="5">
                  <c:v>98.336299999999994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01-0345-BF9D-18251DD55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069440"/>
        <c:axId val="202921760"/>
      </c:scatterChart>
      <c:valAx>
        <c:axId val="57506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1760"/>
        <c:crosses val="autoZero"/>
        <c:crossBetween val="midCat"/>
      </c:valAx>
      <c:valAx>
        <c:axId val="2029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6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308139</xdr:colOff>
      <xdr:row>22</xdr:row>
      <xdr:rowOff>144192</xdr:rowOff>
    </xdr:from>
    <xdr:to>
      <xdr:col>10</xdr:col>
      <xdr:colOff>641978</xdr:colOff>
      <xdr:row>44</xdr:row>
      <xdr:rowOff>55824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4A758-6852-8E5B-1DDC-5D72BE79B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2107363</xdr:colOff>
      <xdr:row>14</xdr:row>
      <xdr:rowOff>8465</xdr:rowOff>
    </xdr:from>
    <xdr:to>
      <xdr:col>21</xdr:col>
      <xdr:colOff>600109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B88EC5-FA21-6FDD-13CB-A0F40FB1A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0.41134</cdr:x>
      <cdr:y>0.16537</cdr:y>
    </cdr:from>
    <cdr:to>
      <cdr:x>0.52017</cdr:x>
      <cdr:y>0.18443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EA4591C-F7C0-7BCC-1656-9255B8470E0C}"/>
            </a:ext>
          </a:extLst>
        </cdr:cNvPr>
        <cdr:cNvCxnSpPr/>
      </cdr:nvCxnSpPr>
      <cdr:spPr>
        <a:xfrm xmlns:a="http://schemas.openxmlformats.org/drawingml/2006/main" flipV="1">
          <a:off x="3376224" y="727269"/>
          <a:ext cx="893259" cy="838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1">
              <a:alpha val="48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3</xdr:row>
      <xdr:rowOff>0</xdr:rowOff>
    </xdr:from>
    <xdr:to>
      <xdr:col>9</xdr:col>
      <xdr:colOff>469900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800EE-B620-D099-B862-E5F3F9957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</xdr:colOff>
      <xdr:row>21</xdr:row>
      <xdr:rowOff>0</xdr:rowOff>
    </xdr:from>
    <xdr:to>
      <xdr:col>9</xdr:col>
      <xdr:colOff>476250</xdr:colOff>
      <xdr:row>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75887-025A-5421-0008-B2EF80AC8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31750</xdr:colOff>
      <xdr:row>39</xdr:row>
      <xdr:rowOff>38100</xdr:rowOff>
    </xdr:from>
    <xdr:to>
      <xdr:col>9</xdr:col>
      <xdr:colOff>476250</xdr:colOff>
      <xdr:row>52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38088F-6407-9252-7881-6311C4071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6350</xdr:colOff>
      <xdr:row>4</xdr:row>
      <xdr:rowOff>0</xdr:rowOff>
    </xdr:from>
    <xdr:to>
      <xdr:col>20</xdr:col>
      <xdr:colOff>450850</xdr:colOff>
      <xdr:row>17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31642D-D1E0-A59C-A4DF-F75D504EB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18199</xdr:colOff>
      <xdr:row>22</xdr:row>
      <xdr:rowOff>36529</xdr:rowOff>
    </xdr:from>
    <xdr:to>
      <xdr:col>20</xdr:col>
      <xdr:colOff>464663</xdr:colOff>
      <xdr:row>35</xdr:row>
      <xdr:rowOff>141795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414D69-F812-57FD-9E1E-7F0B0153B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C00C-06CA-A848-8C57-8F83AAE961A2}">
  <dimension ref="A1:V34"/>
  <sheetViews>
    <sheetView tabSelected="1" zoomScale="84" zoomScaleNormal="91" workbookViewId="0">
      <selection activeCell="K52" sqref="K52"/>
    </sheetView>
  </sheetViews>
  <sheetFormatPr baseColWidth="10" defaultRowHeight="16" x14ac:dyDescent="0.2"/>
  <cols>
    <col min="1" max="1" width="33.6640625" customWidth="1"/>
    <col min="2" max="2" width="12" customWidth="1"/>
    <col min="3" max="3" width="16.83203125" customWidth="1"/>
    <col min="6" max="6" width="12.6640625" customWidth="1"/>
    <col min="7" max="7" width="12.5" customWidth="1"/>
    <col min="8" max="8" width="14.33203125" customWidth="1"/>
    <col min="10" max="10" width="31.33203125" customWidth="1"/>
    <col min="11" max="11" width="32.83203125" customWidth="1"/>
  </cols>
  <sheetData>
    <row r="1" spans="1:22" ht="24" x14ac:dyDescent="0.3">
      <c r="J1" s="24" t="s">
        <v>24</v>
      </c>
    </row>
    <row r="3" spans="1:22" ht="56" x14ac:dyDescent="0.2">
      <c r="A3" s="1" t="s">
        <v>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5</v>
      </c>
      <c r="G3" s="2" t="s">
        <v>6</v>
      </c>
      <c r="H3" s="2" t="s">
        <v>22</v>
      </c>
      <c r="I3" s="23" t="s">
        <v>23</v>
      </c>
    </row>
    <row r="4" spans="1:22" ht="19" x14ac:dyDescent="0.25">
      <c r="A4" s="4" t="s">
        <v>9</v>
      </c>
      <c r="B4" s="5">
        <v>200</v>
      </c>
      <c r="C4" s="5">
        <v>22000</v>
      </c>
      <c r="D4" s="7">
        <v>200000</v>
      </c>
      <c r="E4" s="5">
        <v>200000</v>
      </c>
      <c r="F4" s="5" t="s">
        <v>20</v>
      </c>
      <c r="G4" s="5" t="s">
        <v>20</v>
      </c>
      <c r="H4" s="5">
        <v>57</v>
      </c>
      <c r="I4" s="5">
        <v>200000</v>
      </c>
      <c r="K4" s="8" t="s">
        <v>33</v>
      </c>
      <c r="L4" s="20"/>
    </row>
    <row r="5" spans="1:22" x14ac:dyDescent="0.2">
      <c r="A5" s="4" t="s">
        <v>10</v>
      </c>
      <c r="B5" s="5">
        <v>300</v>
      </c>
      <c r="C5" s="5">
        <v>24000</v>
      </c>
      <c r="D5" s="5">
        <v>250000</v>
      </c>
      <c r="E5" s="5">
        <v>210000</v>
      </c>
      <c r="F5" s="5" t="s">
        <v>21</v>
      </c>
      <c r="G5" s="5" t="s">
        <v>21</v>
      </c>
      <c r="H5" s="5">
        <v>60</v>
      </c>
      <c r="I5" s="5">
        <v>320000</v>
      </c>
      <c r="L5">
        <v>0</v>
      </c>
      <c r="M5">
        <v>10</v>
      </c>
      <c r="N5">
        <v>20</v>
      </c>
      <c r="O5">
        <v>30</v>
      </c>
      <c r="P5">
        <v>40</v>
      </c>
      <c r="Q5">
        <v>50</v>
      </c>
      <c r="R5">
        <v>60</v>
      </c>
      <c r="S5">
        <v>70</v>
      </c>
      <c r="T5">
        <v>80</v>
      </c>
      <c r="U5">
        <v>90</v>
      </c>
      <c r="V5">
        <v>100</v>
      </c>
    </row>
    <row r="6" spans="1:22" x14ac:dyDescent="0.2">
      <c r="A6" s="4" t="s">
        <v>11</v>
      </c>
      <c r="B6" s="5">
        <v>1000</v>
      </c>
      <c r="C6" s="5">
        <v>23809</v>
      </c>
      <c r="D6" s="5">
        <v>300000</v>
      </c>
      <c r="E6" s="5">
        <v>215000</v>
      </c>
      <c r="F6" s="5" t="s">
        <v>20</v>
      </c>
      <c r="G6" s="5" t="s">
        <v>21</v>
      </c>
      <c r="H6" s="5">
        <v>65</v>
      </c>
      <c r="I6" s="5">
        <v>210000</v>
      </c>
      <c r="K6" s="19">
        <f>J15</f>
        <v>83.301219512195118</v>
      </c>
      <c r="L6">
        <f t="dataTable" ref="L6:V12" dt2D="0" dtr="1" r1="B27"/>
        <v>79.253030303030314</v>
      </c>
      <c r="M6">
        <v>79.863235294117644</v>
      </c>
      <c r="N6">
        <v>80.438571428571422</v>
      </c>
      <c r="O6">
        <v>80.981944444444437</v>
      </c>
      <c r="P6">
        <v>81.495945945945948</v>
      </c>
      <c r="Q6">
        <v>81.982894736842098</v>
      </c>
      <c r="R6">
        <v>82.444871794871787</v>
      </c>
      <c r="S6">
        <v>82.883750000000006</v>
      </c>
      <c r="T6">
        <v>83.301219512195118</v>
      </c>
      <c r="U6">
        <v>83.698809523809516</v>
      </c>
      <c r="V6">
        <v>84.077906976744188</v>
      </c>
    </row>
    <row r="7" spans="1:22" x14ac:dyDescent="0.2">
      <c r="A7" s="4" t="s">
        <v>12</v>
      </c>
      <c r="B7" s="5">
        <v>2500</v>
      </c>
      <c r="C7" s="5">
        <v>12998</v>
      </c>
      <c r="D7" s="5">
        <v>350000</v>
      </c>
      <c r="E7" s="5">
        <v>320000</v>
      </c>
      <c r="F7" s="5" t="s">
        <v>20</v>
      </c>
      <c r="G7" s="5" t="s">
        <v>20</v>
      </c>
      <c r="H7" s="5">
        <v>30</v>
      </c>
      <c r="I7" s="5">
        <v>340000</v>
      </c>
      <c r="K7" s="19">
        <f t="shared" ref="K7:K12" si="0">J16</f>
        <v>53.135365853658541</v>
      </c>
      <c r="L7">
        <v>42.828787878787878</v>
      </c>
      <c r="M7">
        <v>44.382352941176478</v>
      </c>
      <c r="N7">
        <v>45.847142857142856</v>
      </c>
      <c r="O7">
        <v>47.230555555555554</v>
      </c>
      <c r="P7">
        <v>48.539189189189187</v>
      </c>
      <c r="Q7">
        <v>49.778947368421051</v>
      </c>
      <c r="R7">
        <v>50.955128205128204</v>
      </c>
      <c r="S7">
        <v>52.072499999999998</v>
      </c>
      <c r="T7">
        <v>53.135365853658541</v>
      </c>
      <c r="U7">
        <v>54.147619047619045</v>
      </c>
      <c r="V7">
        <v>55.11279069767442</v>
      </c>
    </row>
    <row r="8" spans="1:22" x14ac:dyDescent="0.2">
      <c r="A8" s="4" t="s">
        <v>13</v>
      </c>
      <c r="B8" s="5">
        <v>700</v>
      </c>
      <c r="C8" s="5">
        <v>31783</v>
      </c>
      <c r="D8" s="5">
        <v>400000</v>
      </c>
      <c r="E8" s="5">
        <v>280000</v>
      </c>
      <c r="F8" s="5" t="s">
        <v>21</v>
      </c>
      <c r="G8" s="5" t="s">
        <v>21</v>
      </c>
      <c r="H8" s="5">
        <v>35</v>
      </c>
      <c r="I8" s="5">
        <v>220000</v>
      </c>
      <c r="K8" s="19">
        <f t="shared" si="0"/>
        <v>59.433658536585369</v>
      </c>
      <c r="L8">
        <v>58.035757575757586</v>
      </c>
      <c r="M8">
        <v>58.246470588235297</v>
      </c>
      <c r="N8">
        <v>58.445142857142862</v>
      </c>
      <c r="O8">
        <v>58.632777777777775</v>
      </c>
      <c r="P8">
        <v>58.81027027027028</v>
      </c>
      <c r="Q8">
        <v>58.978421052631575</v>
      </c>
      <c r="R8">
        <v>59.137948717948717</v>
      </c>
      <c r="S8">
        <v>59.289499999999997</v>
      </c>
      <c r="T8">
        <v>59.433658536585369</v>
      </c>
      <c r="U8">
        <v>59.570952380952377</v>
      </c>
      <c r="V8">
        <v>59.701860465116276</v>
      </c>
    </row>
    <row r="9" spans="1:22" x14ac:dyDescent="0.2">
      <c r="A9" s="4" t="s">
        <v>14</v>
      </c>
      <c r="B9" s="5">
        <v>677</v>
      </c>
      <c r="C9" s="5">
        <v>12000</v>
      </c>
      <c r="D9" s="5">
        <v>210000</v>
      </c>
      <c r="E9" s="5">
        <v>300000</v>
      </c>
      <c r="F9" s="5" t="s">
        <v>21</v>
      </c>
      <c r="G9" s="5" t="s">
        <v>20</v>
      </c>
      <c r="H9" s="5">
        <v>89</v>
      </c>
      <c r="I9" s="5">
        <v>230000</v>
      </c>
      <c r="K9" s="19">
        <f t="shared" si="0"/>
        <v>38.947560975609754</v>
      </c>
      <c r="L9">
        <v>48.389393939393941</v>
      </c>
      <c r="M9">
        <v>46.966176470588238</v>
      </c>
      <c r="N9">
        <v>45.624285714285719</v>
      </c>
      <c r="O9">
        <v>44.356944444444451</v>
      </c>
      <c r="P9">
        <v>43.158108108108109</v>
      </c>
      <c r="Q9">
        <v>42.022368421052633</v>
      </c>
      <c r="R9">
        <v>40.944871794871794</v>
      </c>
      <c r="S9">
        <v>39.921250000000001</v>
      </c>
      <c r="T9">
        <v>38.947560975609754</v>
      </c>
      <c r="U9">
        <v>38.020238095238092</v>
      </c>
      <c r="V9">
        <v>37.13604651162791</v>
      </c>
    </row>
    <row r="10" spans="1:22" x14ac:dyDescent="0.2">
      <c r="A10" s="4" t="s">
        <v>15</v>
      </c>
      <c r="B10" s="5">
        <v>500</v>
      </c>
      <c r="C10" s="5">
        <v>21000</v>
      </c>
      <c r="D10" s="5">
        <v>220000</v>
      </c>
      <c r="E10" s="5">
        <v>190000</v>
      </c>
      <c r="F10" s="5" t="s">
        <v>20</v>
      </c>
      <c r="G10" s="5" t="s">
        <v>21</v>
      </c>
      <c r="H10" s="5">
        <v>90</v>
      </c>
      <c r="I10" s="5">
        <v>150000</v>
      </c>
      <c r="K10" s="19">
        <f t="shared" si="0"/>
        <v>20.269024390243903</v>
      </c>
      <c r="L10">
        <v>6.2130303030303029</v>
      </c>
      <c r="M10">
        <v>8.3317647058823532</v>
      </c>
      <c r="N10">
        <v>10.329428571428572</v>
      </c>
      <c r="O10">
        <v>12.216111111111111</v>
      </c>
      <c r="P10">
        <v>14.000810810810812</v>
      </c>
      <c r="Q10">
        <v>15.69157894736842</v>
      </c>
      <c r="R10">
        <v>17.295641025641025</v>
      </c>
      <c r="S10">
        <v>18.819500000000001</v>
      </c>
      <c r="T10">
        <v>20.269024390243903</v>
      </c>
      <c r="U10">
        <v>21.64952380952381</v>
      </c>
      <c r="V10">
        <v>22.965813953488372</v>
      </c>
    </row>
    <row r="11" spans="1:22" x14ac:dyDescent="0.2">
      <c r="K11" s="19">
        <f>J20</f>
        <v>64.439756097560974</v>
      </c>
      <c r="L11">
        <v>60.849393939393934</v>
      </c>
      <c r="M11">
        <v>61.390588235294118</v>
      </c>
      <c r="N11">
        <v>61.900857142857141</v>
      </c>
      <c r="O11">
        <v>62.382777777777775</v>
      </c>
      <c r="P11">
        <v>62.838648648648658</v>
      </c>
      <c r="Q11">
        <v>63.270526315789468</v>
      </c>
      <c r="R11">
        <v>63.680256410256412</v>
      </c>
      <c r="S11">
        <v>64.069500000000005</v>
      </c>
      <c r="T11">
        <v>64.439756097560974</v>
      </c>
      <c r="U11">
        <v>64.792380952380952</v>
      </c>
      <c r="V11">
        <v>65.128604651162789</v>
      </c>
    </row>
    <row r="12" spans="1:22" x14ac:dyDescent="0.2">
      <c r="K12" s="19">
        <f t="shared" si="0"/>
        <v>80.814634146341461</v>
      </c>
      <c r="L12">
        <v>79.327272727272728</v>
      </c>
      <c r="M12">
        <v>79.551470588235304</v>
      </c>
      <c r="N12">
        <v>79.762857142857143</v>
      </c>
      <c r="O12">
        <v>79.962500000000006</v>
      </c>
      <c r="P12">
        <v>80.151351351351366</v>
      </c>
      <c r="Q12">
        <v>80.33026315789472</v>
      </c>
      <c r="R12">
        <v>80.5</v>
      </c>
      <c r="S12">
        <v>80.661249999999995</v>
      </c>
      <c r="T12">
        <v>80.814634146341461</v>
      </c>
      <c r="U12">
        <v>80.960714285714289</v>
      </c>
      <c r="V12">
        <v>81.099999999999994</v>
      </c>
    </row>
    <row r="14" spans="1:22" s="26" customFormat="1" ht="56" x14ac:dyDescent="0.2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3" t="s">
        <v>23</v>
      </c>
      <c r="J14" s="3" t="s">
        <v>8</v>
      </c>
      <c r="K14" s="3"/>
    </row>
    <row r="15" spans="1:22" x14ac:dyDescent="0.2">
      <c r="A15" s="4" t="s">
        <v>9</v>
      </c>
      <c r="B15" s="5">
        <v>100</v>
      </c>
      <c r="C15" s="5">
        <v>48.46</v>
      </c>
      <c r="D15" s="5">
        <v>100</v>
      </c>
      <c r="E15" s="5">
        <v>86.15</v>
      </c>
      <c r="F15" s="5">
        <v>100</v>
      </c>
      <c r="G15" s="5">
        <v>100</v>
      </c>
      <c r="H15" s="5">
        <v>45</v>
      </c>
      <c r="I15" s="5">
        <v>200000</v>
      </c>
      <c r="J15" s="6">
        <f>B15*$C$27+C15*$C$28+D15*$C$29+E15*$C$30+F15*$C$31+G15*$C$32+H15*$C$33</f>
        <v>83.301219512195118</v>
      </c>
      <c r="K15" s="19"/>
    </row>
    <row r="16" spans="1:22" x14ac:dyDescent="0.2">
      <c r="A16" s="4" t="s">
        <v>10</v>
      </c>
      <c r="B16" s="5">
        <v>95.65</v>
      </c>
      <c r="C16" s="5">
        <v>38.26</v>
      </c>
      <c r="D16" s="5">
        <v>75</v>
      </c>
      <c r="E16" s="5">
        <v>78.150000000000006</v>
      </c>
      <c r="F16" s="5">
        <v>0</v>
      </c>
      <c r="G16" s="5">
        <v>0</v>
      </c>
      <c r="H16" s="5">
        <v>50</v>
      </c>
      <c r="I16" s="5">
        <v>320000</v>
      </c>
      <c r="J16" s="6">
        <f t="shared" ref="J16:J21" si="1">B16*$C$27+C16*$C$28+D16*$C$29+E16*$C$30+F16*$C$31+G16*$C$32+H16*$C$33</f>
        <v>53.135365853658541</v>
      </c>
      <c r="K16" s="19"/>
    </row>
    <row r="17" spans="1:11" x14ac:dyDescent="0.2">
      <c r="A17" s="4" t="s">
        <v>11</v>
      </c>
      <c r="B17" s="5">
        <v>65.2</v>
      </c>
      <c r="C17" s="5">
        <v>39.229999999999997</v>
      </c>
      <c r="D17" s="5">
        <v>50</v>
      </c>
      <c r="E17" s="5">
        <v>74.150000000000006</v>
      </c>
      <c r="F17" s="5">
        <v>100</v>
      </c>
      <c r="G17" s="5">
        <v>0</v>
      </c>
      <c r="H17" s="5">
        <v>58.33</v>
      </c>
      <c r="I17" s="5">
        <v>210000</v>
      </c>
      <c r="J17" s="6">
        <f t="shared" si="1"/>
        <v>59.433658536585369</v>
      </c>
      <c r="K17" s="19"/>
    </row>
    <row r="18" spans="1:11" x14ac:dyDescent="0.2">
      <c r="A18" s="4" t="s">
        <v>12</v>
      </c>
      <c r="B18" s="5">
        <v>0</v>
      </c>
      <c r="C18" s="5">
        <v>94.37</v>
      </c>
      <c r="D18" s="5">
        <v>25</v>
      </c>
      <c r="E18" s="5">
        <v>0</v>
      </c>
      <c r="F18" s="5">
        <v>100</v>
      </c>
      <c r="G18" s="5">
        <v>100</v>
      </c>
      <c r="H18" s="5">
        <v>0</v>
      </c>
      <c r="I18" s="5">
        <v>340000</v>
      </c>
      <c r="J18" s="6">
        <f t="shared" si="1"/>
        <v>38.947560975609754</v>
      </c>
      <c r="K18" s="19"/>
    </row>
    <row r="19" spans="1:11" x14ac:dyDescent="0.2">
      <c r="A19" s="4" t="s">
        <v>13</v>
      </c>
      <c r="B19" s="5">
        <v>78.25</v>
      </c>
      <c r="C19" s="5">
        <v>0</v>
      </c>
      <c r="D19" s="5">
        <v>0</v>
      </c>
      <c r="E19" s="5">
        <v>22.15</v>
      </c>
      <c r="F19" s="5">
        <v>0</v>
      </c>
      <c r="G19" s="5">
        <v>0</v>
      </c>
      <c r="H19" s="5">
        <v>8.33</v>
      </c>
      <c r="I19" s="5">
        <v>220000</v>
      </c>
      <c r="J19" s="6">
        <f t="shared" si="1"/>
        <v>20.269024390243903</v>
      </c>
      <c r="K19" s="19"/>
    </row>
    <row r="20" spans="1:11" x14ac:dyDescent="0.2">
      <c r="A20" s="4" t="s">
        <v>14</v>
      </c>
      <c r="B20" s="5">
        <v>79.25</v>
      </c>
      <c r="C20" s="5">
        <v>100</v>
      </c>
      <c r="D20" s="5">
        <v>95</v>
      </c>
      <c r="E20" s="5">
        <v>6.15</v>
      </c>
      <c r="F20" s="5">
        <v>0</v>
      </c>
      <c r="G20" s="5">
        <v>100</v>
      </c>
      <c r="H20" s="5">
        <v>98.33</v>
      </c>
      <c r="I20" s="5">
        <v>230000</v>
      </c>
      <c r="J20" s="6">
        <f t="shared" si="1"/>
        <v>64.439756097560974</v>
      </c>
      <c r="K20" s="19"/>
    </row>
    <row r="21" spans="1:11" x14ac:dyDescent="0.2">
      <c r="A21" s="4" t="s">
        <v>15</v>
      </c>
      <c r="B21" s="5">
        <v>86.95</v>
      </c>
      <c r="C21" s="5">
        <v>53.56</v>
      </c>
      <c r="D21" s="5">
        <v>90</v>
      </c>
      <c r="E21" s="5">
        <v>100</v>
      </c>
      <c r="F21" s="5">
        <v>100</v>
      </c>
      <c r="G21" s="5">
        <v>0</v>
      </c>
      <c r="H21" s="5">
        <v>100</v>
      </c>
      <c r="I21" s="5">
        <v>150000</v>
      </c>
      <c r="J21" s="6">
        <f t="shared" si="1"/>
        <v>80.814634146341461</v>
      </c>
      <c r="K21" s="19"/>
    </row>
    <row r="24" spans="1:11" x14ac:dyDescent="0.2">
      <c r="G24" s="11"/>
    </row>
    <row r="25" spans="1:11" x14ac:dyDescent="0.2">
      <c r="C25" s="11"/>
      <c r="F25" s="11"/>
      <c r="G25" s="11"/>
    </row>
    <row r="26" spans="1:11" x14ac:dyDescent="0.2">
      <c r="A26" s="15" t="s">
        <v>29</v>
      </c>
      <c r="B26" s="16" t="s">
        <v>30</v>
      </c>
      <c r="C26" s="16" t="s">
        <v>31</v>
      </c>
      <c r="F26" s="11"/>
      <c r="G26" s="11"/>
    </row>
    <row r="27" spans="1:11" x14ac:dyDescent="0.2">
      <c r="A27" s="13" t="str">
        <f>B14</f>
        <v>Location</v>
      </c>
      <c r="B27" s="14">
        <v>80</v>
      </c>
      <c r="C27" s="18">
        <f>B27/B34</f>
        <v>0.1951219512195122</v>
      </c>
      <c r="F27" s="11"/>
      <c r="G27" s="11"/>
    </row>
    <row r="28" spans="1:11" x14ac:dyDescent="0.2">
      <c r="A28" s="13" t="str">
        <f>C14</f>
        <v>Waste generation</v>
      </c>
      <c r="B28" s="14">
        <v>50</v>
      </c>
      <c r="C28" s="18">
        <f>B28/B34</f>
        <v>0.12195121951219512</v>
      </c>
      <c r="F28" s="11"/>
      <c r="G28" s="11"/>
    </row>
    <row r="29" spans="1:11" x14ac:dyDescent="0.2">
      <c r="A29" s="13" t="str">
        <f>D14</f>
        <v>Water Usage</v>
      </c>
      <c r="B29" s="14">
        <v>50</v>
      </c>
      <c r="C29" s="18">
        <f>B29/B34</f>
        <v>0.12195121951219512</v>
      </c>
      <c r="F29" s="11"/>
      <c r="G29" s="11"/>
    </row>
    <row r="30" spans="1:11" x14ac:dyDescent="0.2">
      <c r="A30" s="13" t="str">
        <f>E14</f>
        <v>Carbon footprint</v>
      </c>
      <c r="B30" s="14">
        <v>70</v>
      </c>
      <c r="C30" s="18">
        <f>B30/B34</f>
        <v>0.17073170731707318</v>
      </c>
      <c r="F30" s="11"/>
      <c r="G30" s="11"/>
    </row>
    <row r="31" spans="1:11" x14ac:dyDescent="0.2">
      <c r="A31" s="17" t="str">
        <f>F14</f>
        <v>Certifications (ISO 9001, ISO 14001, etc.)</v>
      </c>
      <c r="B31" s="14">
        <v>60</v>
      </c>
      <c r="C31" s="18">
        <f>B31/B34</f>
        <v>0.14634146341463414</v>
      </c>
      <c r="F31" s="11"/>
    </row>
    <row r="32" spans="1:11" x14ac:dyDescent="0.2">
      <c r="A32" s="13" t="str">
        <f>G14</f>
        <v>Sustainability reporting</v>
      </c>
      <c r="B32" s="14">
        <v>40</v>
      </c>
      <c r="C32" s="18">
        <f>B32/B34</f>
        <v>9.7560975609756101E-2</v>
      </c>
    </row>
    <row r="33" spans="1:3" x14ac:dyDescent="0.2">
      <c r="A33" s="13" t="str">
        <f>H14</f>
        <v>Transparency</v>
      </c>
      <c r="B33" s="14">
        <v>60</v>
      </c>
      <c r="C33" s="18">
        <f>B33/B34</f>
        <v>0.14634146341463414</v>
      </c>
    </row>
    <row r="34" spans="1:3" x14ac:dyDescent="0.2">
      <c r="A34" s="20" t="s">
        <v>32</v>
      </c>
      <c r="B34" s="21">
        <f>SUM(B27:B33)</f>
        <v>410</v>
      </c>
      <c r="C34" s="22">
        <f>B34/B34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D1D-87FE-7346-AB49-3129FF00791C}">
  <dimension ref="B4:N46"/>
  <sheetViews>
    <sheetView zoomScale="75" workbookViewId="0">
      <selection activeCell="P46" sqref="P46"/>
    </sheetView>
  </sheetViews>
  <sheetFormatPr baseColWidth="10" defaultRowHeight="16" x14ac:dyDescent="0.2"/>
  <cols>
    <col min="2" max="2" width="11.6640625" customWidth="1"/>
    <col min="13" max="13" width="11.6640625" customWidth="1"/>
  </cols>
  <sheetData>
    <row r="4" spans="2:14" x14ac:dyDescent="0.2">
      <c r="B4" s="25" t="s">
        <v>1</v>
      </c>
      <c r="C4" s="25" t="s">
        <v>25</v>
      </c>
      <c r="M4" s="25" t="s">
        <v>28</v>
      </c>
      <c r="N4" s="25" t="s">
        <v>25</v>
      </c>
    </row>
    <row r="5" spans="2:14" x14ac:dyDescent="0.2">
      <c r="B5" s="10">
        <v>200</v>
      </c>
      <c r="C5" s="9">
        <v>100</v>
      </c>
      <c r="M5" s="10">
        <v>190000</v>
      </c>
      <c r="N5" s="9">
        <v>100</v>
      </c>
    </row>
    <row r="6" spans="2:14" x14ac:dyDescent="0.2">
      <c r="B6" s="10">
        <v>300</v>
      </c>
      <c r="C6" s="9">
        <f>-0.0435*B6+108.7</f>
        <v>95.65</v>
      </c>
      <c r="M6" s="10">
        <v>200000</v>
      </c>
      <c r="N6" s="9">
        <f>-0.0008*M6+246.15</f>
        <v>86.15</v>
      </c>
    </row>
    <row r="7" spans="2:14" x14ac:dyDescent="0.2">
      <c r="B7" s="10">
        <v>500</v>
      </c>
      <c r="C7" s="9">
        <f>-0.0435*B7+108.7</f>
        <v>86.95</v>
      </c>
      <c r="M7" s="10">
        <v>210000</v>
      </c>
      <c r="N7" s="9">
        <f t="shared" ref="N7:N10" si="0">-0.0008*M7+246.15</f>
        <v>78.150000000000006</v>
      </c>
    </row>
    <row r="8" spans="2:14" x14ac:dyDescent="0.2">
      <c r="B8" s="10">
        <v>677</v>
      </c>
      <c r="C8" s="9">
        <f t="shared" ref="C8:C10" si="1">-0.0435*B8+108.7</f>
        <v>79.250500000000002</v>
      </c>
      <c r="M8" s="10">
        <v>215000</v>
      </c>
      <c r="N8" s="9">
        <f t="shared" si="0"/>
        <v>74.150000000000006</v>
      </c>
    </row>
    <row r="9" spans="2:14" x14ac:dyDescent="0.2">
      <c r="B9" s="10">
        <v>700</v>
      </c>
      <c r="C9" s="9">
        <f t="shared" si="1"/>
        <v>78.25</v>
      </c>
      <c r="M9" s="10">
        <v>280000</v>
      </c>
      <c r="N9" s="9">
        <f t="shared" si="0"/>
        <v>22.150000000000006</v>
      </c>
    </row>
    <row r="10" spans="2:14" x14ac:dyDescent="0.2">
      <c r="B10" s="10">
        <v>1000</v>
      </c>
      <c r="C10" s="9">
        <f t="shared" si="1"/>
        <v>65.2</v>
      </c>
      <c r="M10" s="10">
        <v>300000</v>
      </c>
      <c r="N10" s="9">
        <f t="shared" si="0"/>
        <v>6.1500000000000057</v>
      </c>
    </row>
    <row r="11" spans="2:14" x14ac:dyDescent="0.2">
      <c r="B11" s="10">
        <v>2500</v>
      </c>
      <c r="C11" s="9">
        <v>0</v>
      </c>
      <c r="M11" s="10">
        <v>320000</v>
      </c>
      <c r="N11" s="9">
        <v>0</v>
      </c>
    </row>
    <row r="21" spans="2:14" x14ac:dyDescent="0.2">
      <c r="B21" s="25" t="s">
        <v>26</v>
      </c>
      <c r="C21" s="25" t="s">
        <v>25</v>
      </c>
    </row>
    <row r="22" spans="2:14" x14ac:dyDescent="0.2">
      <c r="B22" s="10">
        <v>12000</v>
      </c>
      <c r="C22" s="9">
        <v>100</v>
      </c>
    </row>
    <row r="23" spans="2:14" x14ac:dyDescent="0.2">
      <c r="B23" s="10">
        <v>12998</v>
      </c>
      <c r="C23" s="9">
        <f>-0.0051*B23+160.66</f>
        <v>94.370199999999997</v>
      </c>
      <c r="M23" s="25" t="s">
        <v>7</v>
      </c>
      <c r="N23" s="25" t="s">
        <v>25</v>
      </c>
    </row>
    <row r="24" spans="2:14" x14ac:dyDescent="0.2">
      <c r="B24" s="10">
        <v>21000</v>
      </c>
      <c r="C24" s="9">
        <f t="shared" ref="C24:C27" si="2">-0.0051*B24+160.66</f>
        <v>53.559999999999988</v>
      </c>
      <c r="M24" s="10">
        <v>30</v>
      </c>
      <c r="N24" s="9">
        <v>0</v>
      </c>
    </row>
    <row r="25" spans="2:14" x14ac:dyDescent="0.2">
      <c r="B25" s="10">
        <v>22000</v>
      </c>
      <c r="C25" s="9">
        <f t="shared" si="2"/>
        <v>48.459999999999994</v>
      </c>
      <c r="M25" s="10">
        <v>35</v>
      </c>
      <c r="N25" s="9">
        <f>1.6667*M25-50</f>
        <v>8.3345000000000056</v>
      </c>
    </row>
    <row r="26" spans="2:14" x14ac:dyDescent="0.2">
      <c r="B26" s="10">
        <v>23809</v>
      </c>
      <c r="C26" s="9">
        <f t="shared" si="2"/>
        <v>39.234099999999984</v>
      </c>
      <c r="M26" s="10">
        <v>57</v>
      </c>
      <c r="N26" s="9">
        <f t="shared" ref="N26:N29" si="3">1.6667*M26-50</f>
        <v>45.001900000000006</v>
      </c>
    </row>
    <row r="27" spans="2:14" x14ac:dyDescent="0.2">
      <c r="B27" s="10">
        <v>24000</v>
      </c>
      <c r="C27" s="9">
        <f t="shared" si="2"/>
        <v>38.259999999999991</v>
      </c>
      <c r="M27" s="10">
        <v>60</v>
      </c>
      <c r="N27" s="9">
        <f t="shared" si="3"/>
        <v>50.00200000000001</v>
      </c>
    </row>
    <row r="28" spans="2:14" x14ac:dyDescent="0.2">
      <c r="B28" s="10">
        <v>31783</v>
      </c>
      <c r="C28" s="9">
        <v>0</v>
      </c>
      <c r="M28" s="10">
        <v>65</v>
      </c>
      <c r="N28" s="9">
        <f t="shared" si="3"/>
        <v>58.33550000000001</v>
      </c>
    </row>
    <row r="29" spans="2:14" x14ac:dyDescent="0.2">
      <c r="M29" s="10">
        <v>89</v>
      </c>
      <c r="N29" s="9">
        <f t="shared" si="3"/>
        <v>98.336299999999994</v>
      </c>
    </row>
    <row r="30" spans="2:14" x14ac:dyDescent="0.2">
      <c r="M30" s="10">
        <v>90</v>
      </c>
      <c r="N30" s="9">
        <v>100</v>
      </c>
    </row>
    <row r="32" spans="2:14" x14ac:dyDescent="0.2">
      <c r="M32" s="11"/>
    </row>
    <row r="33" spans="2:13" x14ac:dyDescent="0.2">
      <c r="M33" s="11"/>
    </row>
    <row r="34" spans="2:13" x14ac:dyDescent="0.2">
      <c r="M34" s="11"/>
    </row>
    <row r="35" spans="2:13" x14ac:dyDescent="0.2">
      <c r="M35" s="11"/>
    </row>
    <row r="36" spans="2:13" x14ac:dyDescent="0.2">
      <c r="M36" s="11"/>
    </row>
    <row r="37" spans="2:13" x14ac:dyDescent="0.2">
      <c r="M37" s="11"/>
    </row>
    <row r="38" spans="2:13" x14ac:dyDescent="0.2">
      <c r="M38" s="11"/>
    </row>
    <row r="39" spans="2:13" x14ac:dyDescent="0.2">
      <c r="B39" s="25" t="s">
        <v>27</v>
      </c>
      <c r="C39" s="25" t="s">
        <v>25</v>
      </c>
    </row>
    <row r="40" spans="2:13" x14ac:dyDescent="0.2">
      <c r="B40" s="12">
        <v>200000</v>
      </c>
      <c r="C40" s="9">
        <v>100</v>
      </c>
    </row>
    <row r="41" spans="2:13" x14ac:dyDescent="0.2">
      <c r="B41" s="12">
        <v>210000</v>
      </c>
      <c r="C41" s="9">
        <f>-0.0005*B41+200</f>
        <v>95</v>
      </c>
    </row>
    <row r="42" spans="2:13" x14ac:dyDescent="0.2">
      <c r="B42" s="12">
        <v>220000</v>
      </c>
      <c r="C42" s="9">
        <f t="shared" ref="C42:C45" si="4">-0.0005*B42+200</f>
        <v>90</v>
      </c>
    </row>
    <row r="43" spans="2:13" x14ac:dyDescent="0.2">
      <c r="B43" s="12">
        <v>250000</v>
      </c>
      <c r="C43" s="9">
        <f t="shared" si="4"/>
        <v>75</v>
      </c>
    </row>
    <row r="44" spans="2:13" x14ac:dyDescent="0.2">
      <c r="B44" s="12">
        <v>300000</v>
      </c>
      <c r="C44" s="9">
        <f t="shared" si="4"/>
        <v>50</v>
      </c>
    </row>
    <row r="45" spans="2:13" x14ac:dyDescent="0.2">
      <c r="B45" s="12">
        <v>350000</v>
      </c>
      <c r="C45" s="9">
        <f t="shared" si="4"/>
        <v>25</v>
      </c>
    </row>
    <row r="46" spans="2:13" x14ac:dyDescent="0.2">
      <c r="B46" s="12">
        <v>400000</v>
      </c>
      <c r="C46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2023-07-14T07:48:15Z</dcterms:created>
  <dcterms:modified xsi:type="dcterms:W3CDTF">2023-07-14T13:17:00Z</dcterms:modified>
</cp:coreProperties>
</file>